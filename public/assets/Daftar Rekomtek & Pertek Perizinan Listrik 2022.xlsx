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Kerja\Dokumen\OSS - ePTSP\Rekap Perizinan\"/>
    </mc:Choice>
  </mc:AlternateContent>
  <xr:revisionPtr revIDLastSave="0" documentId="13_ncr:1_{66FDE294-A832-4885-84C6-DE027D5E14DA}" xr6:coauthVersionLast="47" xr6:coauthVersionMax="47" xr10:uidLastSave="{00000000-0000-0000-0000-000000000000}"/>
  <bookViews>
    <workbookView xWindow="-108" yWindow="-108" windowWidth="23256" windowHeight="12456" tabRatio="720" xr2:uid="{B1CB577A-B733-4128-BD46-9C2ADA95AE74}"/>
  </bookViews>
  <sheets>
    <sheet name="RINGKASAN" sheetId="11" r:id="rId1"/>
    <sheet name="SAMARINDA" sheetId="2" r:id="rId2"/>
    <sheet name="BALIKPAPAN" sheetId="1" r:id="rId3"/>
    <sheet name="KUKAR" sheetId="3" r:id="rId4"/>
    <sheet name="KUTIM" sheetId="4" r:id="rId5"/>
    <sheet name="KUBAR" sheetId="5" r:id="rId6"/>
    <sheet name="PASER" sheetId="6" r:id="rId7"/>
    <sheet name="PPU" sheetId="7" r:id="rId8"/>
    <sheet name="BONTANG" sheetId="8" r:id="rId9"/>
    <sheet name="BERAU" sheetId="9" r:id="rId10"/>
    <sheet name="MAHULU" sheetId="10" r:id="rId11"/>
  </sheets>
  <definedNames>
    <definedName name="_xlnm._FilterDatabase" localSheetId="2" hidden="1">BALIKPAPAN!$A$5:$S$5</definedName>
    <definedName name="_xlnm._FilterDatabase" localSheetId="9" hidden="1">BERAU!$A$5:$S$5</definedName>
    <definedName name="_xlnm._FilterDatabase" localSheetId="8" hidden="1">BONTANG!$A$5:$S$5</definedName>
    <definedName name="_xlnm._FilterDatabase" localSheetId="5" hidden="1">KUBAR!$A$5:$S$5</definedName>
    <definedName name="_xlnm._FilterDatabase" localSheetId="3" hidden="1">KUKAR!$A$5:$S$5</definedName>
    <definedName name="_xlnm._FilterDatabase" localSheetId="4" hidden="1">KUTIM!$A$5:$S$5</definedName>
    <definedName name="_xlnm._FilterDatabase" localSheetId="10" hidden="1">MAHULU!$A$5:$S$5</definedName>
    <definedName name="_xlnm._FilterDatabase" localSheetId="6" hidden="1">PASER!$A$5:$S$5</definedName>
    <definedName name="_xlnm._FilterDatabase" localSheetId="7" hidden="1">PPU!$A$5:$S$5</definedName>
    <definedName name="_xlnm._FilterDatabase" localSheetId="1" hidden="1">SAMARINDA!$A$5:$S$5</definedName>
    <definedName name="_xlnm.Print_Area" localSheetId="7">PPU!$A$1:$R$16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3" i="3" l="1"/>
  <c r="B54" i="3" s="1"/>
  <c r="A52" i="3"/>
  <c r="K52" i="3"/>
  <c r="P52" i="3"/>
  <c r="A53" i="3"/>
  <c r="K53" i="3"/>
  <c r="P53" i="3"/>
  <c r="A54" i="3"/>
  <c r="K54" i="3"/>
  <c r="P54" i="3"/>
  <c r="B23" i="9"/>
  <c r="B24" i="9" s="1"/>
  <c r="B25" i="9" s="1"/>
  <c r="B26" i="9" s="1"/>
  <c r="P22" i="9"/>
  <c r="P23" i="9"/>
  <c r="P24" i="9"/>
  <c r="P25" i="9"/>
  <c r="P26" i="9"/>
  <c r="K22" i="9"/>
  <c r="K23" i="9"/>
  <c r="K24" i="9"/>
  <c r="K25" i="9"/>
  <c r="K26" i="9"/>
  <c r="A22" i="9"/>
  <c r="A23" i="9"/>
  <c r="A24" i="9"/>
  <c r="A25" i="9"/>
  <c r="A26" i="9"/>
  <c r="B9" i="9" l="1"/>
  <c r="B10" i="9" s="1"/>
  <c r="B11" i="9" s="1"/>
  <c r="B12" i="9" s="1"/>
  <c r="B15" i="9" s="1"/>
  <c r="B18" i="9" s="1"/>
  <c r="B20" i="9" s="1"/>
  <c r="B21" i="9" s="1"/>
  <c r="B28" i="9" s="1"/>
  <c r="B29" i="9" s="1"/>
  <c r="B30" i="9" s="1"/>
  <c r="B7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7" i="9"/>
  <c r="P28" i="9"/>
  <c r="P29" i="9"/>
  <c r="P30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7" i="9"/>
  <c r="K28" i="9"/>
  <c r="K29" i="9"/>
  <c r="K30" i="9"/>
  <c r="A21" i="9"/>
  <c r="A27" i="9"/>
  <c r="A28" i="9"/>
  <c r="A29" i="9"/>
  <c r="A30" i="9"/>
  <c r="B8" i="8"/>
  <c r="B9" i="8" s="1"/>
  <c r="B11" i="8" s="1"/>
  <c r="B12" i="8" s="1"/>
  <c r="B7" i="8"/>
  <c r="K6" i="8"/>
  <c r="K7" i="8"/>
  <c r="K8" i="8"/>
  <c r="K9" i="8"/>
  <c r="K10" i="8"/>
  <c r="K11" i="8"/>
  <c r="K12" i="8"/>
  <c r="P6" i="8"/>
  <c r="P7" i="8"/>
  <c r="P8" i="8"/>
  <c r="P10" i="8"/>
  <c r="P11" i="8"/>
  <c r="P12" i="8"/>
  <c r="O9" i="8"/>
  <c r="P9" i="8" s="1"/>
  <c r="A9" i="8"/>
  <c r="B8" i="7"/>
  <c r="B9" i="7" s="1"/>
  <c r="B10" i="7" s="1"/>
  <c r="B11" i="7" s="1"/>
  <c r="B7" i="7"/>
  <c r="B11" i="6"/>
  <c r="B12" i="6" s="1"/>
  <c r="B13" i="6" s="1"/>
  <c r="B14" i="6" s="1"/>
  <c r="B15" i="6" s="1"/>
  <c r="B16" i="6" s="1"/>
  <c r="B9" i="6"/>
  <c r="B8" i="6"/>
  <c r="B8" i="5"/>
  <c r="B10" i="5" s="1"/>
  <c r="B11" i="5" s="1"/>
  <c r="B13" i="5" s="1"/>
  <c r="B14" i="5" s="1"/>
  <c r="B7" i="5"/>
  <c r="P6" i="6"/>
  <c r="P7" i="6"/>
  <c r="P8" i="6"/>
  <c r="P9" i="6"/>
  <c r="P10" i="6"/>
  <c r="P11" i="6"/>
  <c r="P12" i="6"/>
  <c r="P13" i="6"/>
  <c r="P14" i="6"/>
  <c r="P15" i="6"/>
  <c r="P16" i="6"/>
  <c r="K6" i="6"/>
  <c r="K7" i="6"/>
  <c r="K8" i="6"/>
  <c r="K9" i="6"/>
  <c r="K10" i="6"/>
  <c r="K11" i="6"/>
  <c r="K12" i="6"/>
  <c r="K13" i="6"/>
  <c r="K14" i="6"/>
  <c r="K15" i="6"/>
  <c r="K16" i="6"/>
  <c r="K14" i="5"/>
  <c r="K13" i="5"/>
  <c r="K12" i="5"/>
  <c r="K11" i="5"/>
  <c r="K10" i="5"/>
  <c r="K9" i="5"/>
  <c r="K8" i="5"/>
  <c r="K7" i="5"/>
  <c r="K6" i="5"/>
  <c r="P6" i="5"/>
  <c r="P7" i="5"/>
  <c r="P8" i="5"/>
  <c r="P9" i="5"/>
  <c r="P10" i="5"/>
  <c r="P11" i="5"/>
  <c r="P12" i="5"/>
  <c r="P13" i="5"/>
  <c r="P14" i="5"/>
  <c r="B9" i="4"/>
  <c r="B10" i="4" s="1"/>
  <c r="B11" i="4" s="1"/>
  <c r="B14" i="4" s="1"/>
  <c r="B16" i="4" s="1"/>
  <c r="B17" i="4" s="1"/>
  <c r="B18" i="4" s="1"/>
  <c r="B19" i="4" s="1"/>
  <c r="B20" i="4" s="1"/>
  <c r="B21" i="4" s="1"/>
  <c r="B22" i="4" s="1"/>
  <c r="B26" i="4" s="1"/>
  <c r="B27" i="4" s="1"/>
  <c r="B28" i="4" s="1"/>
  <c r="B7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48" i="3"/>
  <c r="P49" i="3"/>
  <c r="P50" i="3"/>
  <c r="P51" i="3"/>
  <c r="P55" i="3"/>
  <c r="P56" i="3"/>
  <c r="P57" i="3"/>
  <c r="P58" i="3"/>
  <c r="K48" i="3"/>
  <c r="K49" i="3"/>
  <c r="K50" i="3"/>
  <c r="K51" i="3"/>
  <c r="K55" i="3"/>
  <c r="K56" i="3"/>
  <c r="K57" i="3"/>
  <c r="K58" i="3"/>
  <c r="B9" i="3"/>
  <c r="B11" i="3" s="1"/>
  <c r="B12" i="3" s="1"/>
  <c r="B13" i="3" s="1"/>
  <c r="B15" i="3" s="1"/>
  <c r="B17" i="3" s="1"/>
  <c r="B18" i="3" s="1"/>
  <c r="B20" i="3" s="1"/>
  <c r="B21" i="3" s="1"/>
  <c r="B22" i="3" s="1"/>
  <c r="B23" i="3" s="1"/>
  <c r="B24" i="3" s="1"/>
  <c r="B26" i="3" s="1"/>
  <c r="B28" i="3" s="1"/>
  <c r="B30" i="3" s="1"/>
  <c r="B31" i="3" s="1"/>
  <c r="B32" i="3" s="1"/>
  <c r="B33" i="3" s="1"/>
  <c r="B34" i="3" s="1"/>
  <c r="B35" i="3" s="1"/>
  <c r="B36" i="3" s="1"/>
  <c r="B38" i="3" s="1"/>
  <c r="B39" i="3" s="1"/>
  <c r="B40" i="3" s="1"/>
  <c r="B42" i="3" s="1"/>
  <c r="B44" i="3" s="1"/>
  <c r="B45" i="3" s="1"/>
  <c r="B46" i="3" s="1"/>
  <c r="B47" i="3" s="1"/>
  <c r="B49" i="3" s="1"/>
  <c r="B50" i="3" s="1"/>
  <c r="B51" i="3" s="1"/>
  <c r="B56" i="3" s="1"/>
  <c r="B57" i="3" s="1"/>
  <c r="B58" i="3" s="1"/>
  <c r="B7" i="3"/>
  <c r="P25" i="3"/>
  <c r="K37" i="3"/>
  <c r="K38" i="3"/>
  <c r="K39" i="3"/>
  <c r="K40" i="3"/>
  <c r="K41" i="3"/>
  <c r="K42" i="3"/>
  <c r="K43" i="3"/>
  <c r="K44" i="3"/>
  <c r="K45" i="3"/>
  <c r="K46" i="3"/>
  <c r="K47" i="3"/>
  <c r="P37" i="3"/>
  <c r="P38" i="3"/>
  <c r="P39" i="3"/>
  <c r="P40" i="3"/>
  <c r="P41" i="3"/>
  <c r="P42" i="3"/>
  <c r="P43" i="3"/>
  <c r="P44" i="3"/>
  <c r="P45" i="3"/>
  <c r="P46" i="3"/>
  <c r="P47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6" i="3"/>
  <c r="P27" i="3"/>
  <c r="P28" i="3"/>
  <c r="P29" i="3"/>
  <c r="P30" i="3"/>
  <c r="P31" i="3"/>
  <c r="P32" i="3"/>
  <c r="P33" i="3"/>
  <c r="P34" i="3"/>
  <c r="P35" i="3"/>
  <c r="P36" i="3"/>
  <c r="P31" i="4" l="1"/>
  <c r="P61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5" i="3"/>
  <c r="A56" i="3"/>
  <c r="A57" i="3"/>
  <c r="A58" i="3"/>
  <c r="B26" i="1"/>
  <c r="B13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P7" i="1"/>
  <c r="P8" i="1"/>
  <c r="P9" i="1"/>
  <c r="P10" i="1"/>
  <c r="K7" i="1"/>
  <c r="K8" i="1"/>
  <c r="K9" i="1"/>
  <c r="K10" i="1"/>
  <c r="B11" i="2"/>
  <c r="B12" i="2" s="1"/>
  <c r="B16" i="2" s="1"/>
  <c r="B17" i="2" s="1"/>
  <c r="B18" i="2" s="1"/>
  <c r="B20" i="2" s="1"/>
  <c r="B22" i="2" s="1"/>
  <c r="B24" i="2" s="1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A25" i="2"/>
  <c r="P6" i="10"/>
  <c r="K8" i="7"/>
  <c r="P8" i="7"/>
  <c r="K9" i="7"/>
  <c r="P9" i="7"/>
  <c r="K10" i="7"/>
  <c r="P10" i="7"/>
  <c r="H30" i="2" l="1"/>
  <c r="H29" i="2"/>
  <c r="A16" i="2"/>
  <c r="A17" i="2"/>
  <c r="A15" i="2"/>
  <c r="A20" i="2"/>
  <c r="A21" i="2" l="1"/>
  <c r="H31" i="1"/>
  <c r="H32" i="1"/>
  <c r="D7" i="11" s="1"/>
  <c r="K6" i="10"/>
  <c r="K7" i="10"/>
  <c r="P7" i="10"/>
  <c r="H11" i="10"/>
  <c r="D15" i="11" s="1"/>
  <c r="H10" i="10"/>
  <c r="C15" i="11" s="1"/>
  <c r="A7" i="10"/>
  <c r="A6" i="10"/>
  <c r="A16" i="9"/>
  <c r="A17" i="9"/>
  <c r="A18" i="9"/>
  <c r="A19" i="9"/>
  <c r="A20" i="9"/>
  <c r="H34" i="9"/>
  <c r="D14" i="11" s="1"/>
  <c r="H33" i="9"/>
  <c r="C14" i="11" s="1"/>
  <c r="A15" i="9"/>
  <c r="A14" i="9"/>
  <c r="A13" i="9"/>
  <c r="A12" i="9"/>
  <c r="A11" i="9"/>
  <c r="A10" i="9"/>
  <c r="A9" i="9"/>
  <c r="A8" i="9"/>
  <c r="A7" i="9"/>
  <c r="A6" i="9"/>
  <c r="H16" i="8"/>
  <c r="D13" i="11" s="1"/>
  <c r="H15" i="8"/>
  <c r="C13" i="11" s="1"/>
  <c r="A12" i="8"/>
  <c r="A11" i="8"/>
  <c r="A10" i="8"/>
  <c r="A8" i="8"/>
  <c r="A7" i="8"/>
  <c r="A6" i="8"/>
  <c r="P11" i="7"/>
  <c r="P14" i="7" s="1"/>
  <c r="E12" i="11" s="1"/>
  <c r="K11" i="7"/>
  <c r="H15" i="7"/>
  <c r="D12" i="11" s="1"/>
  <c r="H14" i="7"/>
  <c r="H16" i="7" s="1"/>
  <c r="A11" i="7"/>
  <c r="A10" i="7"/>
  <c r="A9" i="7"/>
  <c r="A8" i="7"/>
  <c r="A7" i="7"/>
  <c r="A6" i="7"/>
  <c r="A11" i="6"/>
  <c r="A12" i="6"/>
  <c r="A13" i="6"/>
  <c r="A14" i="6"/>
  <c r="A15" i="6"/>
  <c r="A10" i="6"/>
  <c r="H20" i="6"/>
  <c r="D11" i="11" s="1"/>
  <c r="H19" i="6"/>
  <c r="C11" i="11" s="1"/>
  <c r="A16" i="6"/>
  <c r="A9" i="6"/>
  <c r="A8" i="6"/>
  <c r="A7" i="6"/>
  <c r="A6" i="6"/>
  <c r="H18" i="5"/>
  <c r="D10" i="11" s="1"/>
  <c r="H17" i="5"/>
  <c r="C10" i="11" s="1"/>
  <c r="A14" i="5"/>
  <c r="A13" i="5"/>
  <c r="A12" i="5"/>
  <c r="A11" i="5"/>
  <c r="A10" i="5"/>
  <c r="A9" i="5"/>
  <c r="A8" i="5"/>
  <c r="A7" i="5"/>
  <c r="A6" i="5"/>
  <c r="C12" i="11" l="1"/>
  <c r="H33" i="1"/>
  <c r="C7" i="11"/>
  <c r="H12" i="10"/>
  <c r="P10" i="10"/>
  <c r="E15" i="11" s="1"/>
  <c r="H35" i="9"/>
  <c r="P33" i="9"/>
  <c r="E14" i="11" s="1"/>
  <c r="P15" i="8"/>
  <c r="E13" i="11" s="1"/>
  <c r="H17" i="8"/>
  <c r="P19" i="6"/>
  <c r="E11" i="11" s="1"/>
  <c r="H21" i="6"/>
  <c r="P17" i="5"/>
  <c r="E10" i="11" s="1"/>
  <c r="H19" i="5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H32" i="4"/>
  <c r="D9" i="11" s="1"/>
  <c r="H31" i="4"/>
  <c r="C9" i="11" s="1"/>
  <c r="A8" i="4"/>
  <c r="A7" i="4"/>
  <c r="A6" i="4"/>
  <c r="D6" i="11"/>
  <c r="C6" i="11"/>
  <c r="H62" i="3"/>
  <c r="D8" i="11" s="1"/>
  <c r="H61" i="3"/>
  <c r="C8" i="11" s="1"/>
  <c r="A8" i="3"/>
  <c r="A7" i="3"/>
  <c r="A6" i="3"/>
  <c r="A10" i="2"/>
  <c r="A11" i="2"/>
  <c r="A12" i="2"/>
  <c r="A13" i="2"/>
  <c r="A14" i="2"/>
  <c r="A18" i="2"/>
  <c r="A19" i="2"/>
  <c r="A22" i="2"/>
  <c r="A23" i="2"/>
  <c r="A24" i="2"/>
  <c r="A26" i="2"/>
  <c r="C16" i="11" l="1"/>
  <c r="P29" i="2"/>
  <c r="E6" i="11" s="1"/>
  <c r="D16" i="11"/>
  <c r="E9" i="11"/>
  <c r="H33" i="4"/>
  <c r="H63" i="3"/>
  <c r="A9" i="2"/>
  <c r="A8" i="2"/>
  <c r="A7" i="2"/>
  <c r="A6" i="2"/>
  <c r="C17" i="11" l="1"/>
  <c r="P31" i="1"/>
  <c r="E7" i="11" s="1"/>
  <c r="H31" i="2"/>
  <c r="A9" i="1"/>
  <c r="A7" i="1"/>
  <c r="A6" i="1"/>
  <c r="A8" i="1"/>
  <c r="E8" i="11" l="1"/>
  <c r="E16" i="11" s="1"/>
</calcChain>
</file>

<file path=xl/sharedStrings.xml><?xml version="1.0" encoding="utf-8"?>
<sst xmlns="http://schemas.openxmlformats.org/spreadsheetml/2006/main" count="1390" uniqueCount="549">
  <si>
    <t>Data Pemohon/Pelaku Usaha</t>
  </si>
  <si>
    <t>Data Perizinan/Non Perizinan</t>
  </si>
  <si>
    <t>Data Pembangkit Listrik</t>
  </si>
  <si>
    <t>No.</t>
  </si>
  <si>
    <t>ID</t>
  </si>
  <si>
    <t>Nama</t>
  </si>
  <si>
    <t>Kontak</t>
  </si>
  <si>
    <t>Jenis</t>
  </si>
  <si>
    <t>No. Pengajuan</t>
  </si>
  <si>
    <t>No. Surat Keluar
(Rekomtek/Pertek)</t>
  </si>
  <si>
    <t>Tanggal</t>
  </si>
  <si>
    <t>No. Surat Izin Terbit</t>
  </si>
  <si>
    <t>Tanggal Terbit</t>
  </si>
  <si>
    <t>Tanggal Akhir</t>
  </si>
  <si>
    <t>Lokasi</t>
  </si>
  <si>
    <t>Titik Koordinat</t>
  </si>
  <si>
    <t>Jumlah</t>
  </si>
  <si>
    <t>Kapasitas</t>
  </si>
  <si>
    <t>Sifat Penggunaan</t>
  </si>
  <si>
    <t>Catatan</t>
  </si>
  <si>
    <t>16 (14*15)</t>
  </si>
  <si>
    <t>IUPTLS</t>
  </si>
  <si>
    <t>SKTP</t>
  </si>
  <si>
    <t>Jumlah Rekomtek IUPTLS</t>
  </si>
  <si>
    <t>Jumlah Pertek SKTP</t>
  </si>
  <si>
    <t>Jumlah 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</si>
  <si>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</si>
  <si>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</si>
  <si>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</si>
  <si>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</si>
  <si>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</si>
  <si>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</si>
  <si>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</si>
  <si>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</si>
  <si>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</si>
  <si>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</si>
  <si>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</si>
  <si>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</si>
  <si>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</si>
  <si>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</si>
  <si>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</si>
  <si>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17</t>
  </si>
  <si>
    <t>18</t>
  </si>
  <si>
    <t>19</t>
  </si>
  <si>
    <t>Kota/Kabupaten</t>
  </si>
  <si>
    <t xml:space="preserve">Jumlah Rekomtek </t>
  </si>
  <si>
    <t>Samarinda</t>
  </si>
  <si>
    <t>Balikpapan</t>
  </si>
  <si>
    <t>Kutai Kartanegara</t>
  </si>
  <si>
    <t>Kutai Timur</t>
  </si>
  <si>
    <t>Kutai Barat</t>
  </si>
  <si>
    <t>Paser</t>
  </si>
  <si>
    <t>Penajam Paser Utara</t>
  </si>
  <si>
    <t>Bontang</t>
  </si>
  <si>
    <t>Berau</t>
  </si>
  <si>
    <t>Mahakam Ulu</t>
  </si>
  <si>
    <t>Total</t>
  </si>
  <si>
    <t>Total Rekomtek/Pertek</t>
  </si>
  <si>
    <t>DAFTAR REKOMTEK/PERTEK PERIZINAN/NON PERIZINAN USAHA PENYEDIAAN TENAGA LISTRIK UNTUK KEPENTINGAN SENDIRI TAHUN 2022 PROVINSI KALIMANTAN TIMUR</t>
  </si>
  <si>
    <t>DAFTAR REKOMTEK/PERTEK PERIZINAN/NON PERIZINAN USAHA PENYEDIAAN TENAGA LISTRIK UNTUK KEPENTINGAN SENDIRI TAHUN 2022 KOTA SAMARINDA</t>
  </si>
  <si>
    <t>DAFTAR REKOMTEK/PERTEK PERIZINAN/NON PERIZINAN USAHA PENYEDIAAN TENAGA LISTRIK UNTUK KEPENTINGAN SENDIRI TAHUN 2022 KOTA BALIKPAPAN</t>
  </si>
  <si>
    <t>DAFTAR REKOMTEK/PERTEK PERIZINAN/NON PERIZINAN USAHA PENYEDIAAN TENAGA LISTRIK UNTUK KEPENTINGAN SENDIRI TAHUN 2022 KABUPATEN KUTAI KARTANEGARA</t>
  </si>
  <si>
    <t>DAFTAR REKOMTEK/PERTEK PERIZINAN/NON PERIZINAN USAHA PENYEDIAAN TENAGA LISTRIK UNTUK KEPENTINGAN SENDIRI TAHUN 2022 KABUPATEN KUTAI BARAT</t>
  </si>
  <si>
    <t>DAFTAR REKOMTEK/PERTEK PERIZINAN/NON PERIZINAN USAHA PENYEDIAAN TENAGA LISTRIK UNTUK KEPENTINGAN SENDIRI TAHUN 2022 KABUPATEN PASER</t>
  </si>
  <si>
    <t>DAFTAR REKOMTEK/PERTEK PERIZINAN/NON PERIZINAN USAHA PENYEDIAAN TENAGA LISTRIK UNTUK KEPENTINGAN SENDIRI TAHUN 2022 KABUPATEN PENAJAM PASER UTARA</t>
  </si>
  <si>
    <t>DAFTAR REKOMTEK/PERTEK PERIZINAN/NON PERIZINAN USAHA PENYEDIAAN TENAGA LISTRIK UNTUK KEPENTINGAN SENDIRI TAHUN 2022 KOTA BONTANG</t>
  </si>
  <si>
    <t>DAFTAR REKOMTEK/PERTEK PERIZINAN/NON PERIZINAN USAHA PENYEDIAAN TENAGA LISTRIK UNTUK KEPENTINGAN SENDIRI TAHUN 2022 KABUPATEN BERAU</t>
  </si>
  <si>
    <t>DAFTAR REKOMTEK/PERTEK PERIZINAN/NON PERIZINAN USAHA PENYEDIAAN TENAGA LISTRIK UNTUK KEPENTINGAN SENDIRI TAHUN 2022 KABUPATEN MAHAKAM ULU</t>
  </si>
  <si>
    <t>Jumlah Kapasitas (kVA)</t>
  </si>
  <si>
    <t>Total Kapasitas (kVA)</t>
  </si>
  <si>
    <t>PT. ASTRA INTERNATIONAL Tbk. TOYOTA - AUTO 2000</t>
  </si>
  <si>
    <t>503/188/DPMPTSP-IV/I/2022;
598464</t>
  </si>
  <si>
    <t>671.12/374/I-KTL/2022</t>
  </si>
  <si>
    <t>503/0138/SKTP/DPMPTSP/III/2022</t>
  </si>
  <si>
    <t/>
  </si>
  <si>
    <t>Jl. Wahid Hasyim RT. 28, Kelurahan Sempaja Selatan, Kecamatan Samarinda Utara, Kota Samarinda</t>
  </si>
  <si>
    <t>S : 0°27'22.19"
T : 117°9'13.2"</t>
  </si>
  <si>
    <t>PLTD</t>
  </si>
  <si>
    <t>DARURAT</t>
  </si>
  <si>
    <t>PT. PAULA JAYA</t>
  </si>
  <si>
    <t>503/236.2/DPMPTSP-IV/II/2022;
37D5B3</t>
  </si>
  <si>
    <t>671.12/448/I-KTL/2022</t>
  </si>
  <si>
    <t>503/0157/SKTP/DPMPTSP/III/2022</t>
  </si>
  <si>
    <t>Jl. Sultan Sulaiman, Kelurahan Sambutan, Kecamatan Sambutan, Kota Samarinda</t>
  </si>
  <si>
    <t>S : 0°31'28"
T : 117°12'56.82"</t>
  </si>
  <si>
    <t>RSUD A.W. SJAHRANIE</t>
  </si>
  <si>
    <t>I-202203170655447196705</t>
  </si>
  <si>
    <t>671.12/643/I-KTL/2022</t>
  </si>
  <si>
    <t>022000526180300020003</t>
  </si>
  <si>
    <t>Jl. Palang Merah Indonesia No. 01, Kelurahan Sidodadi, Kecamatan Samarinda Ulu, Kota Samarinda</t>
  </si>
  <si>
    <t>S : 0°28'44.93"
T : 117°8'36.16"</t>
  </si>
  <si>
    <t>PT. TRAKINDO UTAMA</t>
  </si>
  <si>
    <t>I-202203280926075365997</t>
  </si>
  <si>
    <t>671.12/941/I-KTL/2022</t>
  </si>
  <si>
    <t>812010785390500080093</t>
  </si>
  <si>
    <t>Jl. Cipto Mangunkusumo, Kelurahan Sengkotek, Kecamatan Loa Janan Ilir, Kota Samarinda</t>
  </si>
  <si>
    <t>S : 0°33'3.54"
T : 117°5'18.68"</t>
  </si>
  <si>
    <t>PT. CAHAYA SAMTRACO UTAMA</t>
  </si>
  <si>
    <t>I-202204052331084079482</t>
  </si>
  <si>
    <t>671.12/977/I-KTL/2022</t>
  </si>
  <si>
    <t>912000494092100020001</t>
  </si>
  <si>
    <t>Jl. Ekonomi RT. 14, Kelurahan Loa Buah, Kecamatan Sungai Kunjang, Kota Samarinda</t>
  </si>
  <si>
    <t>S : 0°33'45.19"
T : 117°4'47.84"</t>
  </si>
  <si>
    <t>UTAMA DAN CADANGAN</t>
  </si>
  <si>
    <t>PT. TRIBHAKTI INSPEKTAMA</t>
  </si>
  <si>
    <t>503/684/DPMPTSP-IV/V/2022;
39881B</t>
  </si>
  <si>
    <t>671.12/978/I-KTL/2022</t>
  </si>
  <si>
    <t>503/0247/SKTP/DPMPTSP/VI/2022</t>
  </si>
  <si>
    <t>Jl. APT Pranoto No. 89, Kelurahan Sungai Keledang, Kecamatan Samarinda Seberang, Kota Samarinda 75131</t>
  </si>
  <si>
    <t>S : 0°31'36.96690"
T : 117°7'49.21940"</t>
  </si>
  <si>
    <t>PT. BCA KCU (Samarinda)</t>
  </si>
  <si>
    <t>503/1082/DPMPTSP-IV/VIII/2022;
B98E81</t>
  </si>
  <si>
    <t>671.12/1490/I-KTL/2022</t>
  </si>
  <si>
    <t>503/0322/SKTP/DPMPTSP/X/2022</t>
  </si>
  <si>
    <t>Jl. Jendral Sudirman No. 30, Kelurahan Pasar Pagi, Kecamatan Samarinda Kota, Kota Samarinda</t>
  </si>
  <si>
    <t>S : 0°30'8.02”
T : 117°8’39.92”</t>
  </si>
  <si>
    <t>Kantor Perwakilan BANK INDONESIA Provinsi Kalimantan Timur</t>
  </si>
  <si>
    <t>503/1171/DPMPTSP-IV/VIII/2022;
8D74B2</t>
  </si>
  <si>
    <t>671.12/1541/I-KTL/2022</t>
  </si>
  <si>
    <t>503/0328/SKTP/DPMPTSP/X/2022</t>
  </si>
  <si>
    <t>Jl. Basuki Rahmat No.15 Kota Samarinda</t>
  </si>
  <si>
    <t>503/1172/DPMPTSP-IV/VIII/2022</t>
  </si>
  <si>
    <t>Jl. Seruni No.04 Kota Samarinda</t>
  </si>
  <si>
    <t>503/1173/DPMPTSP-IV/VIII/2022</t>
  </si>
  <si>
    <t>503/1174/DPMPTSP-IV/VIII/2022</t>
  </si>
  <si>
    <t>Jl. Basuki Rahmat No.07 Kota Samarinda</t>
  </si>
  <si>
    <t>0˚29’45,72”S
117˚8’45,76”T</t>
  </si>
  <si>
    <t>0˚29’44,37”S
117˚8’47,3”T</t>
  </si>
  <si>
    <t>0˚29’43,42”S
117˚8’44,9”T</t>
  </si>
  <si>
    <t xml:space="preserve">0˚29’47,34”S
117˚8’44,18”T </t>
  </si>
  <si>
    <t>PT. INTERASIONAL PRIMA COAL</t>
  </si>
  <si>
    <t>503/1187/DPMPTSP-IV/VIII/2022;
0055AB</t>
  </si>
  <si>
    <t>671.12/1748/I-KTL/2022</t>
  </si>
  <si>
    <t>503/0377/SKTP/DPMPTSP/XI/2022</t>
  </si>
  <si>
    <t>Kelurahan Bantuas, Kecamatan Palaran, Kota Samarinda</t>
  </si>
  <si>
    <t xml:space="preserve">S : 0°37’55.74”
T : 117°14’15.21” </t>
  </si>
  <si>
    <t>UTAMA</t>
  </si>
  <si>
    <t xml:space="preserve">S : 0°38’29.2”
T : 117°11’8.18” </t>
  </si>
  <si>
    <t>PT. SAMARINDA CENTRAL INDONESIA (Aston Hotel &amp; Convention Hall)</t>
  </si>
  <si>
    <t>PT. SARANA INDAH PERKASA (Hotel Midtown)</t>
  </si>
  <si>
    <t>I-202209301427163501556</t>
  </si>
  <si>
    <t>671.12/1877/I-KTL/2022</t>
  </si>
  <si>
    <t>912020963266700080004</t>
  </si>
  <si>
    <t>Jl. P. Hidayatullah, Kel. Pelabuhan, Kec. Samarinda Kota, Kota Samarinda</t>
  </si>
  <si>
    <t>I-202210201338197386762</t>
  </si>
  <si>
    <t>671.12/1983/I-KTL/2022</t>
  </si>
  <si>
    <t>912000447072400000003</t>
  </si>
  <si>
    <t>Jl. Hasan Basri No. 58, Kelurahan Bandara, Kecamatan Sungai Pinang, Kota Samarinda</t>
  </si>
  <si>
    <t xml:space="preserve">S : 0°30’7,48”
T : 117°9’17,53” </t>
  </si>
  <si>
    <t xml:space="preserve">S : 0°28’49.94” 
T : 117°9’12.85” </t>
  </si>
  <si>
    <t>PT. GRAND SAWIT HOTEL</t>
  </si>
  <si>
    <t>9B980D</t>
  </si>
  <si>
    <t>671.12/2226/I-KTL/2022</t>
  </si>
  <si>
    <t>503/0428/SKTP/DPMPTSP/XII/2022</t>
  </si>
  <si>
    <t>Jl. K.H. Abdurrasyid No. 34A (Eks Jl. Basuki Rahmat)
Kelurahan Bugis, Kecamatan Samarinda Kota, Kota Samarinda</t>
  </si>
  <si>
    <t>0°29’ 49,53”S
117°8’43,66’’T</t>
  </si>
  <si>
    <t>Data terdapat pada SKTP terbit, pertek tidak ada salinan digital.</t>
  </si>
  <si>
    <t>PT. LOTTE SHOPPING INDONESIA</t>
  </si>
  <si>
    <t>I-202211141307230696079</t>
  </si>
  <si>
    <t>671.12/2092/I-KTL/2022</t>
  </si>
  <si>
    <t>812010381321700080034</t>
  </si>
  <si>
    <t>Kelurahan Air Hitam, Kecamatan Samarinda Ulu, Kota Samarinda</t>
  </si>
  <si>
    <t xml:space="preserve">S : 0°28’24.9”
T : 117°7’58.1” </t>
  </si>
  <si>
    <t>PT. HEXINDO ADIPERKASA Tbk.</t>
  </si>
  <si>
    <t>PT. PANDEGA CITRANIAGA</t>
  </si>
  <si>
    <t>PT. LIEBHERR INDONESIA PERKASA</t>
  </si>
  <si>
    <t>I-202202151537426258732</t>
  </si>
  <si>
    <t>671.12/447/I-KTL/2022</t>
  </si>
  <si>
    <t>812010584180600040003</t>
  </si>
  <si>
    <t>Jl. Mulawarman RT. 52, No. 99 Kelurahan Manggar, Kecamatan Balikpapan Timur, Kota Balikpapan</t>
  </si>
  <si>
    <t>I-202201131621548256347</t>
  </si>
  <si>
    <t>671.12/449/I-KTL/2022</t>
  </si>
  <si>
    <t>912000223149100010001</t>
  </si>
  <si>
    <t>Jl. Jend. Sudirman No. 1 Kelurahan Klandasan Ilir, Kecamatan Balikpapan, Kota Balikpapan</t>
  </si>
  <si>
    <t>I-202201141422016064457</t>
  </si>
  <si>
    <t>671.12/451/I-KTL/2022</t>
  </si>
  <si>
    <t>812000284275900030001</t>
  </si>
  <si>
    <t>Jl. Mulawarman No. 12, RT. 23, Kelurahan Manggar, Kecamatan Balikpapan Timur, Kota Balikpapan</t>
  </si>
  <si>
    <t>S : 0°44'32.5288"
T : 119°120'5.5859"</t>
  </si>
  <si>
    <t>S : 1°16'41.41"
T : 116°50'15.63"</t>
  </si>
  <si>
    <t>S : 1°14'26.53"
T : 116°56'48.51"</t>
  </si>
  <si>
    <t>503/295/DPMPTSP-IV/II/2022;
1E3EA1</t>
  </si>
  <si>
    <t>671.12/544/I-KTL/2022</t>
  </si>
  <si>
    <t>503/0191/SKTP/DPMPTSP/IV/2022</t>
  </si>
  <si>
    <t>PT. HASTA KREASIMANDIRI (Swiss-Belhotel)</t>
  </si>
  <si>
    <t>I-202202111409154082477</t>
  </si>
  <si>
    <t>671.12/584/I-KTL/2022</t>
  </si>
  <si>
    <t>912020854270100000001</t>
  </si>
  <si>
    <t>Jl. Jend. Sudirman Pasar Baru, Kelurahan Klandasan Ilir, Kecamatan Balikpapan Kota, Kota Balikpapan</t>
  </si>
  <si>
    <t>S : 1°16'42.5"
T : 116°50'25.77"</t>
  </si>
  <si>
    <t>PT. ESTRELLA TIGA INDONESIA (Whiz Prime Hotel)</t>
  </si>
  <si>
    <t>503/815/DPMPTSP-IV/VI/2022;
78346F</t>
  </si>
  <si>
    <t>671.12/1118/I-KTL/2022</t>
  </si>
  <si>
    <t>503/0266/SKTP/DPMPTSP/VII/2022</t>
  </si>
  <si>
    <t>Jl. Jend. Sudirman No. 321, RT. 09, Kelurahan Damai, Kecamatan Balikpapan Kota, Kota Balikpapan 76114</t>
  </si>
  <si>
    <t>S : 1°16'20.053"
T : 116°51'8.280"</t>
  </si>
  <si>
    <t>PT. SINAR MAS WISESA</t>
  </si>
  <si>
    <t>PT. HANJAYA MANDALA SAMPOERNA Tbk.</t>
  </si>
  <si>
    <t>I-202207220821451255062</t>
  </si>
  <si>
    <t>671.12/1481/I-KTL/2022</t>
  </si>
  <si>
    <t>912000987091700020004</t>
  </si>
  <si>
    <t>Jl. MT. Haryono, Kompleks Ruko Balikpapan Baru, Kota Balikpapan</t>
  </si>
  <si>
    <t>503/1092/DPMPTSP-IV/VIII/2022;
A6395E</t>
  </si>
  <si>
    <t>671.12/1482/I-KTL/2022</t>
  </si>
  <si>
    <t>503/0319/SKTP/DPMPTSP/X/2022</t>
  </si>
  <si>
    <t>Jl. MT. Haryono No. 199 RT. 26, Kelurahan Sungai Nangka, Kecamatan Balikpapan Selatan, Kota Balikpapan</t>
  </si>
  <si>
    <t>S : 1°14’37,14”
T : 116°4’47,84”</t>
  </si>
  <si>
    <t>S : 1°15’24.44”
T : 116°52’10.22”</t>
  </si>
  <si>
    <t>PT. SANGGAR SARANA BAJA</t>
  </si>
  <si>
    <t>I-202208081631011433512</t>
  </si>
  <si>
    <t>671.12/1488/I-KTL/2022</t>
  </si>
  <si>
    <t>812011921150800330002</t>
  </si>
  <si>
    <t>Jl. Sultan Hasanuddin No. 08, Kelurahan Kariangau, Kecamatan Balikpapan Barat, Kota Balikpapan</t>
  </si>
  <si>
    <t>S : 1°12’9.37”
T : 116°49’1.97”</t>
  </si>
  <si>
    <t>PT. PRIMAHOTEL MANAJEMEN INDONESIA</t>
  </si>
  <si>
    <t>PT. SERASI LOGISTICS INDONESIA</t>
  </si>
  <si>
    <t>PT. PAMAPERSADA NUSANTARA (PAMA BPOP)</t>
  </si>
  <si>
    <t>PT. PAMAPERSADA NUSANTARA (PAMA ERKA)</t>
  </si>
  <si>
    <t>PT. PAMAPERSADA NUSANTARA (PAMA PSR)</t>
  </si>
  <si>
    <t>503/1040/DPMPTSP-IV/VIII/2022;
8D6F6A</t>
  </si>
  <si>
    <t>671.12/1499/I-KTL/2022</t>
  </si>
  <si>
    <t>503/0313/SKTP/DPMPTSP/X/2022</t>
  </si>
  <si>
    <t>Jl. MT. Haryono No. 78, Kelurahan Damai, Kecamatan Balikpapan Kota, Kota Balikpapan</t>
  </si>
  <si>
    <t>503/1083/DPMPTSP-IV/VIII/2022;
C277F0</t>
  </si>
  <si>
    <t>671.12/1501/I-KTL/2022</t>
  </si>
  <si>
    <t>503/0323/SKTP/DPMPTSP/X/2022</t>
  </si>
  <si>
    <t>Komplek Pergudangan Golden Kariangau Jl. Sultan Hasanuddin No. 71 RT. 48, Kelurahan Karang Joang, Kecamatan Balikpapan Utara, Kota Balikpapan</t>
  </si>
  <si>
    <t>I-202207290911423738502</t>
  </si>
  <si>
    <t>671.12/1502/I-KTL/2022</t>
  </si>
  <si>
    <t>812021106038900480073</t>
  </si>
  <si>
    <t>Jl. Mulawarman RT.39, Kelurahan Manggar  Kecamatan Balikpapan Timur, Kota Balikpapan</t>
  </si>
  <si>
    <t>I-202207291611470175943</t>
  </si>
  <si>
    <t>671.12/1503/I-KTL/2022</t>
  </si>
  <si>
    <t>812021106038900490078</t>
  </si>
  <si>
    <t>Jl. Sultan Hasanudin, RT.14, Kelurahan Kariangau  Kecamatan Balikpapan Barat, Kota Balikpapan</t>
  </si>
  <si>
    <t>I-202208011528308164734</t>
  </si>
  <si>
    <t>671.12/1504/I-KTL/2022</t>
  </si>
  <si>
    <t>812021106038900480074</t>
  </si>
  <si>
    <t>Jl. Syarifuddin Yoes RT.01, Kelurahan Sepinggan Baru, Kecamatan Balikpapan Selatan, Kota Balikpapan</t>
  </si>
  <si>
    <t>S : 1°15'59.94”
T : 116°51’27.44”</t>
  </si>
  <si>
    <t>S : 1°10'30.09”
T : 116°50’43.52”</t>
  </si>
  <si>
    <t>S : 1°13’30”
T : 116°57’56”</t>
  </si>
  <si>
    <t xml:space="preserve">S : 1°12’5.46115”
T : 116°49’23.15517” </t>
  </si>
  <si>
    <t xml:space="preserve">S : 1°15’23”
T : 116°54’14.20” </t>
  </si>
  <si>
    <t>PT. MIL PLATINUM BERSAUDARA</t>
  </si>
  <si>
    <t>I-202209090948329288237</t>
  </si>
  <si>
    <t>671.12/1542/I-KTL/2022</t>
  </si>
  <si>
    <t>912020834088600010001</t>
  </si>
  <si>
    <t>Jl. Soekarno -Hatta, No. 28 Kecamatan Balikpapan Utara, Kota Balikpapan</t>
  </si>
  <si>
    <t>1°14’37,14”S
116°4’47,84”T</t>
  </si>
  <si>
    <t>PT. ASTRA INTERNATIONAL Tbk. TOYOTA AUTO 2000 (MT Haryono - Perbaikan Bodi dan Cat)</t>
  </si>
  <si>
    <t>PT. ASTRA INTERNATIONAL Tbk. TOYOTA AUTO 2000 (MT Haryono - Penjualan Mobil)</t>
  </si>
  <si>
    <t>PT. ASTRA INTERNATIONAL Tbk. TOYOTA AUTO 2000 (Jend. Sudirman)</t>
  </si>
  <si>
    <t>503/1259.3/DPMPTSP-IV/IX/2022;
56C63E</t>
  </si>
  <si>
    <t>671.12/1844/I-KTL/2022</t>
  </si>
  <si>
    <t>503/0378/SKTP/DPMPTSP/XI/2022</t>
  </si>
  <si>
    <t>Jl. MT. Haryono No. 67, RT 06 Kelurahan Damai Nangka, Kecamatan Balikpapan Selatan, Kota Balikpapan</t>
  </si>
  <si>
    <t>503/1263/DPMPTSP-IV/IX/2022;
FDF64A</t>
  </si>
  <si>
    <t>671.12/1845/I-KTL/2022</t>
  </si>
  <si>
    <t>503/0379/SKTP/DPMPTSP/XI/2022</t>
  </si>
  <si>
    <t>Jl. MT. Haryono No. 188, RT 36 Kelurahan Damai Bahagia, Kecamatan Balikpapan Selatan, Kota Balikpapan</t>
  </si>
  <si>
    <t>503/1271.1/DPMPTSP-IV/IX/2022;
9D8E4E</t>
  </si>
  <si>
    <t>671.12/1846/I-KTL/2022</t>
  </si>
  <si>
    <t>503/0387/SKTP/DPMPTSP/XI/2022</t>
  </si>
  <si>
    <t>Jl. Jend. Sudirman No. 29 RT. 35, Kelurahan Klandasan Ilir, Kecamatan Balikpapan Kota, Kota Balikpapan</t>
  </si>
  <si>
    <t>S : 1°15'28.93"
T : 116°52'7.2"</t>
  </si>
  <si>
    <t>S : 1°15'28.29"
T : 116°52'9.24"</t>
  </si>
  <si>
    <t>S : 1°16'27.53"
T : 116°50'52.3"</t>
  </si>
  <si>
    <t>PT. THIESS CONTRACTORS INDONESIA</t>
  </si>
  <si>
    <t>PT. SELARAS ANUGERAH SENTOSA</t>
  </si>
  <si>
    <t>C077F0</t>
  </si>
  <si>
    <t>671.12/1874/I-KTL/2022</t>
  </si>
  <si>
    <t>503/0380/SKTP/DPMPTSP/XI/2022</t>
  </si>
  <si>
    <t>Kelurahan Kariangau, Kecamatan Balikpapan Barat, Kota Balikpapan</t>
  </si>
  <si>
    <t>FE2F0F</t>
  </si>
  <si>
    <t>671.12/1876/I-KTL/2022</t>
  </si>
  <si>
    <t>503/0376/SKTP/DPMPTSP/XI/2022</t>
  </si>
  <si>
    <t>Kelurahan Sepinggan Raya, Kecamatan Balikpapan Selatan, Kota Balikpapan</t>
  </si>
  <si>
    <t>S : 1°11'58.79"
T : 116°49'27.48"</t>
  </si>
  <si>
    <t>S : 1°15'45.33"
T : 116°53'36.29"</t>
  </si>
  <si>
    <t>PT. SURYA NUSANTARA JAYA (Hotel Zurich Balikpapan)</t>
  </si>
  <si>
    <t>D85914</t>
  </si>
  <si>
    <t>671.12/2094/I-KTL/2022</t>
  </si>
  <si>
    <t>503/0422/SKTP/DPMPTSP/XII/2022</t>
  </si>
  <si>
    <t>Jl. Jend. Sudirman No. 81 RT. 04, Kelurahan Damai Bahagia, Kecamatan Balikpapan Selatan, Kota Balikpapan</t>
  </si>
  <si>
    <t xml:space="preserve">S : 1°16’13.86”
T : 116°51’31.49” </t>
  </si>
  <si>
    <t>PT. INDUSTRI KELUARGA TIMUR</t>
  </si>
  <si>
    <t>503/248/DPMPTSP-IV/II/2022;
9617FC</t>
  </si>
  <si>
    <t>671.12/545/I-KTL/2022</t>
  </si>
  <si>
    <t>503/0192/SKTP/DPMPTSP/IV/2022</t>
  </si>
  <si>
    <t>Jl. Soekarno Hatta Km. 16, Dusun Tani Maju, Desa Batuah, Kecamatan Loa Janan, Kabupaten Kutai Kartanegara</t>
  </si>
  <si>
    <t>S : 0°40'18.68"
T : 117°5'39.62"</t>
  </si>
  <si>
    <t>PT. JAPFA COMFEED INDONESIA Tbk.</t>
  </si>
  <si>
    <t>PT. BUMI MAS AGRO</t>
  </si>
  <si>
    <t>I-202201200948254988415</t>
  </si>
  <si>
    <t>671.12/642/I-KTL/2022</t>
  </si>
  <si>
    <t>812000478250500180072</t>
  </si>
  <si>
    <t>Desa Tani Bhakti, Kecamatan Loa Janan, Kabupaten Kutai Kartanegara</t>
  </si>
  <si>
    <t>I-202204010959360037495</t>
  </si>
  <si>
    <t>671.12/748/I-KTL/2022</t>
  </si>
  <si>
    <t>912000931098300020011</t>
  </si>
  <si>
    <t>Desa Marukangan, Kecamatan Sandaran, Kabupaten Kutai Kartanegara</t>
  </si>
  <si>
    <t>S : 0°39'47.55"
T : 117°6'31.08"</t>
  </si>
  <si>
    <t>Lat : 0°53.168'
Long : 118°24.113'</t>
  </si>
  <si>
    <t>PLTU</t>
  </si>
  <si>
    <t>Lat : 0.865406°
Long : 118.473778°</t>
  </si>
  <si>
    <t>PLTBG</t>
  </si>
  <si>
    <t>PT. BUKIT MAKMUR MANDIRI UTAMA (BUMA TABANG)</t>
  </si>
  <si>
    <t>671.12/905/I-KTL/2022</t>
  </si>
  <si>
    <t>812020188155200110002</t>
  </si>
  <si>
    <t>Desa Senyiur, Kecamatan Muara Ancalong, Kabupaten Kutai Kartanegara</t>
  </si>
  <si>
    <t>U : 0°17'34109179"
T : 116°34'23.681123"</t>
  </si>
  <si>
    <t>U : 0°17'24599905"
T : 116°34'50.080562"</t>
  </si>
  <si>
    <t>PT. AGRI EASTBORNEO KENCACA</t>
  </si>
  <si>
    <t>I-202205310956166843177</t>
  </si>
  <si>
    <t>671.12/1011/I-KTL/2022</t>
  </si>
  <si>
    <t>812010490065400020001</t>
  </si>
  <si>
    <t>Site Plant PT. Agri Eastborneo Kencana, Desa Sedulung dan Desa Manamang, Kecamatan Muara Kaman, Kabupaten Kutai Kartanegara</t>
  </si>
  <si>
    <t>U : 0°7'8.4468"
T : 116°55'2.0208"</t>
  </si>
  <si>
    <t>PT. MULTI HARAPAN UTAMA</t>
  </si>
  <si>
    <t>I-202204201228496728117</t>
  </si>
  <si>
    <t>671.12/1031/I-KTL/2022</t>
  </si>
  <si>
    <t>812021103223900100001</t>
  </si>
  <si>
    <t>Desa Loa Kulu Kota, Kecamatan Loa Kulu, Kabupaten Kutai Kartanegara</t>
  </si>
  <si>
    <t>S : 0°32'13.03"
T : 117°1'51.39"</t>
  </si>
  <si>
    <t>UTAMA DAN DARURAT</t>
  </si>
  <si>
    <t>S : 0°32'10.07"
T : 117°1'34.98"</t>
  </si>
  <si>
    <t>S : 0°33'41.47"
T : 117°1'32.29"</t>
  </si>
  <si>
    <t>PT. PAMAPERSADA NUSANTARA (PAMA BAYA)</t>
  </si>
  <si>
    <t>I-202206171446179539669</t>
  </si>
  <si>
    <t>671.12/1167/I-KTL/2022</t>
  </si>
  <si>
    <t>812021103223900100002</t>
  </si>
  <si>
    <t>I-20220161139108339600</t>
  </si>
  <si>
    <t>671.12/1190/I-KTL/2022</t>
  </si>
  <si>
    <t>812021106038900470071</t>
  </si>
  <si>
    <t>Desa Bhuana Jaya, Kecamatan Tenggarong Seberang, Kabupaten Kutai Kartanegara</t>
  </si>
  <si>
    <t>S : 0°32'6.68"
T : 117°1'39.2"</t>
  </si>
  <si>
    <t>PLTS</t>
  </si>
  <si>
    <t>CADANGAN</t>
  </si>
  <si>
    <t>PT. PAMAPERSADA NUSANTARA (PAMA INDO)</t>
  </si>
  <si>
    <t>I-202209191717156974356</t>
  </si>
  <si>
    <t>671.12/1747/I-KTL/2022</t>
  </si>
  <si>
    <t>812021106038900490076</t>
  </si>
  <si>
    <t>Desa Sukrahmat, Kecamatan Teluk Pandan, Kabupaten Kutai Timur</t>
  </si>
  <si>
    <t>Desa Santan Tengah, Kecamatan Marangkayu, Kabupaten Kutai Kartanegara</t>
  </si>
  <si>
    <t>U : 0°9’11.11”
T : 117°17’41.13”</t>
  </si>
  <si>
    <t>U : 0°9’1.58”
T : 117°17’43.69”</t>
  </si>
  <si>
    <t>U : 0°8’54.75”
T : 117°17’16.81”</t>
  </si>
  <si>
    <t>U : 0°7’26.1”
T : 117°22’4.21”</t>
  </si>
  <si>
    <t>U : 0°1’9.48”
T : 117°28’17.28”</t>
  </si>
  <si>
    <t>Dalam 1 Rekomtek, lokasi pembangkit ada pada 2 kabupaten</t>
  </si>
  <si>
    <t>PT. NIAGAMAS GEMILANG</t>
  </si>
  <si>
    <t>I-202209191257565294104</t>
  </si>
  <si>
    <t>671.12/1841/I-KTL/2022</t>
  </si>
  <si>
    <t>812021704099400060001</t>
  </si>
  <si>
    <t>Sungai Tantai RT. 005, Dusun 1 Sentuk, Desa Sungai Payang, Kecamatan Loa Kulu, Kabupaten Kutai Kartanegara</t>
  </si>
  <si>
    <t xml:space="preserve">S : 0°37’48,63”
T : 116°49’34,03” </t>
  </si>
  <si>
    <t xml:space="preserve">S : 0°35’39,62”
T : 116°49’21,06” </t>
  </si>
  <si>
    <t>PT. PAMAPERSADA INDONESIA (PAMA ABKL)</t>
  </si>
  <si>
    <t>I-202209151048079229439</t>
  </si>
  <si>
    <t>671.12/1843/I-KTL/2022</t>
  </si>
  <si>
    <t>812021106038900490077</t>
  </si>
  <si>
    <t>Desa Purwajaya, Kecamatan Loa Janan, Kabupaten Kutai Kartanegara</t>
  </si>
  <si>
    <t xml:space="preserve">S : 0°30’38,85”
T : 117°4’9,78” </t>
  </si>
  <si>
    <t>PT. MAJU KALIMANTAN HADAPAN</t>
  </si>
  <si>
    <t>I-202210201021499078995</t>
  </si>
  <si>
    <t>671.12/1984/I-KTL/2022</t>
  </si>
  <si>
    <t>812001428051900040002</t>
  </si>
  <si>
    <t>Desa Puan Cepak, Kecamatan Muara Kaman, Kabupaten Kutai Kartanegara</t>
  </si>
  <si>
    <t xml:space="preserve">U : 0°0’55.49”
T : 116°58’6.13” </t>
  </si>
  <si>
    <t>03BC77</t>
  </si>
  <si>
    <t xml:space="preserve">671.12/2093/I-KTL/2022 </t>
  </si>
  <si>
    <t>503/0423/SKTP/DPMPTSP/XII/2022</t>
  </si>
  <si>
    <t>Desa Makarti, Kecamatan Marang Kayu, Kabupaten Kutai Kartanegara</t>
  </si>
  <si>
    <t>S : 0°2’ 57,56”
T : 117° 18’1,1’’</t>
  </si>
  <si>
    <t>PT. SINAR KUMALA NAGA</t>
  </si>
  <si>
    <t>B62204</t>
  </si>
  <si>
    <t xml:space="preserve">671.12/2241/I-KTL/2022 </t>
  </si>
  <si>
    <t>503/0431/SKTP/DPMPTSP/XII/2022</t>
  </si>
  <si>
    <t>Desa Kutai Lama, Kecamatan Anggana, Kabupaten Kutai Kartanegara</t>
  </si>
  <si>
    <t>0°30’28,83”S
117°’19’12,95’’T</t>
  </si>
  <si>
    <t>0°30’35,67”S
117°’18’32,56’’T</t>
  </si>
  <si>
    <t>UTAMA/
PORTABLE</t>
  </si>
  <si>
    <t>DAFTAR REKOMTEK/PERTEK PERIZINAN/NON PERIZINAN USAHA PENYEDIAAN TENAGA LISTRIK UNTUK KEPENTINGAN SENDIRI TAHUN 2022 KABUPATEN KUTAI TIMUR</t>
  </si>
  <si>
    <t>PT. PADMA WINATA THANI (Q-Hotel Sangatta)</t>
  </si>
  <si>
    <t>503/238/DPMPTSP-IV/II/2022;
2403A8</t>
  </si>
  <si>
    <t>671.12/450/I-KTL/2022</t>
  </si>
  <si>
    <t>503/0156/SKTP/DPMPTSP/III/2022</t>
  </si>
  <si>
    <t>Desa Sangatta Utara, Kecamatan Sangatta Utara, Kabupaten Kutai Timur</t>
  </si>
  <si>
    <t>PT. WIDYA SAPTA CONTRACTOR</t>
  </si>
  <si>
    <t>i-20220321316319326899</t>
  </si>
  <si>
    <t>671.12/585/I-KTL/2022</t>
  </si>
  <si>
    <t>812031502156200180001</t>
  </si>
  <si>
    <t>Desa Bukit Makmur, Kecamatan Kaliorang, Kabupaten Kutai Timur</t>
  </si>
  <si>
    <t>PT. KOBEXINDO CEMENT</t>
  </si>
  <si>
    <t>503/454/DPMPTSP-IV/III/2022;
AFE36D</t>
  </si>
  <si>
    <t>671.12/1010/I-KTL/2022</t>
  </si>
  <si>
    <t>503/0252/SKTP/DPMPTSP/VII/2022</t>
  </si>
  <si>
    <t>Desa Selangkau, Kecamatan Kaliorang, Kabupaten Kutai timur</t>
  </si>
  <si>
    <t>U : 0°48'4.37"
T : 117°48'37.93"</t>
  </si>
  <si>
    <t>I-202204230840471394124</t>
  </si>
  <si>
    <t>671.12/1012/I-KTL/2022</t>
  </si>
  <si>
    <t>912010374172500000001</t>
  </si>
  <si>
    <t>U : 0°47'42.83"
T : 117°48'22.94"</t>
  </si>
  <si>
    <t>PT. PAMAPERSADA NUSANTARA (PAMA KPCB)</t>
  </si>
  <si>
    <t>PT. THIESS CONTRACTORS INDONESIA Site Sangatta Project</t>
  </si>
  <si>
    <t>917AC1</t>
  </si>
  <si>
    <t>671.12/2270/I-KTL/2022</t>
  </si>
  <si>
    <t>503/0432/SKTP/DPMPTSP/XII/2022</t>
  </si>
  <si>
    <t>Desa Sepaso Timur, Kecamatan Sangatta Utara, Kabupaten Kutai Timur</t>
  </si>
  <si>
    <t>712E29</t>
  </si>
  <si>
    <t>671.12/2271/I-KTL/2022</t>
  </si>
  <si>
    <t>503/0430/SKTP/DPMPTSP/XII/2022</t>
  </si>
  <si>
    <t>Desa Swargabara, Kecamatan Sangatta Utara, Kabupaten Kutai Timur</t>
  </si>
  <si>
    <t>I-202211300936586981458</t>
  </si>
  <si>
    <t>671.12/2276/I-KTL/2022</t>
  </si>
  <si>
    <t>912040618127200090006</t>
  </si>
  <si>
    <t>U : 0°47’3.8”, 
T : 117°31’20.24”</t>
  </si>
  <si>
    <t>U : 0°32’7.3”, 
T : 117°31’5.56”</t>
  </si>
  <si>
    <t>U : 0°36’8.57”, 
T : 117°25’24.94”</t>
  </si>
  <si>
    <t>U : 0°33’9.94”, 
T : 117°28’39.88”</t>
  </si>
  <si>
    <t>U : 0°36’10.82”, 
T : 117°25’10.29”</t>
  </si>
  <si>
    <t>PT. AGRO MANUNGGAL SELARAS</t>
  </si>
  <si>
    <t>I-202206031100379334133</t>
  </si>
  <si>
    <t>671.12/1014/I-KTL/2022</t>
  </si>
  <si>
    <t>912020613361200000001</t>
  </si>
  <si>
    <t>Desa Jelmu Sibak, Kecamatan Bentian Besar, Kabupaten Kutai Barat</t>
  </si>
  <si>
    <t>S : 0°53'29.058"
T : 115°47'48.654"</t>
  </si>
  <si>
    <t>PT. PUTRA BONGAN JAYA</t>
  </si>
  <si>
    <t>PT. KALIMANTAN AGRO MAKMUR</t>
  </si>
  <si>
    <t>I-202210101107523904960</t>
  </si>
  <si>
    <t>671.12/1998/I-KTL/2022</t>
  </si>
  <si>
    <t>812021511246100010001</t>
  </si>
  <si>
    <t>Desa Muara Gusik, Kecamatan Bongan, Kabupaten Kutai Barat</t>
  </si>
  <si>
    <t>I-202210281131428692951</t>
  </si>
  <si>
    <t>671.12/1999/I-KTL/2022</t>
  </si>
  <si>
    <t>912010717058200050001</t>
  </si>
  <si>
    <t>Desa Abit, Kecamatan Mook Manaar Bulatn, Kabupaten Kutai Barat</t>
  </si>
  <si>
    <t xml:space="preserve">S : 0°12’23.09”
T : 115°59’3.92” </t>
  </si>
  <si>
    <t>PT. AGRO INTI KENCANAMAS</t>
  </si>
  <si>
    <t>I-202205301125294311517</t>
  </si>
  <si>
    <t>671.12/1013/I-KTL/2022</t>
  </si>
  <si>
    <t>812000196077200010001</t>
  </si>
  <si>
    <t>Desa Riwang, Kecamatan Batu Engau, Kabupaten Paser</t>
  </si>
  <si>
    <t>S : 2°13'22"
T : 116°21'21"</t>
  </si>
  <si>
    <t>PT. PRADIKSI GUNATAMA Tbk.</t>
  </si>
  <si>
    <t>I-202208020908292867859</t>
  </si>
  <si>
    <t>671.12/1483/I-KTL/2022</t>
  </si>
  <si>
    <t>812001821216900110005</t>
  </si>
  <si>
    <t>Desa Langgai, Kecamatan Batu Engau, Kabupaten Paser</t>
  </si>
  <si>
    <t>S : 2°10’50.53”
T : 116°12’33.64”</t>
  </si>
  <si>
    <t>PT. PAMAPERSADA INDONESIA (PAMA KIDE)</t>
  </si>
  <si>
    <t>I-2022091510453485444099</t>
  </si>
  <si>
    <t>671.12/1776/I-KTL/2022</t>
  </si>
  <si>
    <t>812021106038900490075</t>
  </si>
  <si>
    <t>Desa Batu Kajang, Kecamatan Batu Sopang, Kabupaten Paser</t>
  </si>
  <si>
    <t xml:space="preserve">S : 1°49’30.99” 
T : 115°54’9.26” </t>
  </si>
  <si>
    <t xml:space="preserve">S : 1°55’45.36” 
T : 115°51’41.35” </t>
  </si>
  <si>
    <t xml:space="preserve">S : 1°56’59.01” 
T : 115°52’9.72” </t>
  </si>
  <si>
    <t xml:space="preserve">S : 1°55’35.72” 
T : 115°51’35.2” </t>
  </si>
  <si>
    <t xml:space="preserve">S : 1°54’53.44” 
T : 115°51’14.92” </t>
  </si>
  <si>
    <t>PT. JAPFA COMFEED INDONESIA Tbk. (Poultry Breeding Division)</t>
  </si>
  <si>
    <t>I-202210270919430394456</t>
  </si>
  <si>
    <t>671.12/2095/I-KTL/2022</t>
  </si>
  <si>
    <t>812000478250500440195</t>
  </si>
  <si>
    <t>Desa Tengin Baru, Kecamatan Sepaku, Kabupaten Penajam Paser Utara</t>
  </si>
  <si>
    <t>U : 0°55’56,03”, 
T : 116°48’24,48”</t>
  </si>
  <si>
    <t>PT. KALTIM DAYA MANDIRI</t>
  </si>
  <si>
    <t>I-202201261539377425425</t>
  </si>
  <si>
    <t>671.12/246/I-KTL/2022</t>
  </si>
  <si>
    <t>812010493174100020001</t>
  </si>
  <si>
    <t>Kelurahan Guntung Kecamatan Bontang Utara, Kota Bontang</t>
  </si>
  <si>
    <t>U : 0°11'16.06"
T : 117°28'38.48"</t>
  </si>
  <si>
    <t>U : 0°11'13.86"
T : 117°28'38.03"</t>
  </si>
  <si>
    <t>U : 0°11'14.03"
T : 117°28'38.07"</t>
  </si>
  <si>
    <t>PT. ENERGI UNGGUL PERSADA</t>
  </si>
  <si>
    <t>I-202210101348229049080</t>
  </si>
  <si>
    <t>671.12/1842/I-KTL/2022</t>
  </si>
  <si>
    <t>812010392150900160002</t>
  </si>
  <si>
    <t>Jl. Tanjung Meranggas, Segendis, RT. 12, Kelurahan Bontang Lestari, Kecamatan Bontang Selatan, Kota Bontang</t>
  </si>
  <si>
    <t xml:space="preserve">U : 0°1’50.2” 
T : 117°30’35.88” </t>
  </si>
  <si>
    <t>PV Modul</t>
  </si>
  <si>
    <t>Inverter</t>
  </si>
  <si>
    <t>PT. BERAU COAL</t>
  </si>
  <si>
    <t>I-202205271456166901515</t>
  </si>
  <si>
    <t>671.12/942/I-KTL/2022</t>
  </si>
  <si>
    <t>812001303262500030001</t>
  </si>
  <si>
    <t>CPP Suaran Km. 29, Kelurahan Suaran, Kecamatan Sambaliung, Kabupaten Berau</t>
  </si>
  <si>
    <t>U : 2°2'45.3"
T : 117°41'37.2"</t>
  </si>
  <si>
    <t>PT. HUJAN HIJAU MAS</t>
  </si>
  <si>
    <t>I-202206030938406912292</t>
  </si>
  <si>
    <t>671.12/1029/I-KTL/2022</t>
  </si>
  <si>
    <t>812020286077400000001</t>
  </si>
  <si>
    <t>Kelurahan Gunung Sari, Kecamatan Segah, Kabupaten Berau</t>
  </si>
  <si>
    <t>U : 2°12'41.2"
T : 117°10'0.2"</t>
  </si>
  <si>
    <t>PLTBm</t>
  </si>
  <si>
    <t>PLTBg</t>
  </si>
  <si>
    <t>PT. UNITED HYDRAULIC TECHNOLOGY</t>
  </si>
  <si>
    <t>503/677.1/DPMPTSP-IV/V/2022;
B0A9AB</t>
  </si>
  <si>
    <t>671.12/1032/I-KTL/2022</t>
  </si>
  <si>
    <t>503/0261/SKTP/DPMPTSP/VII/2022</t>
  </si>
  <si>
    <t>Jl. H. A.R.M. Ayoeb Desa Birang, Kelurahan Gunung Tabur, Kecamatan Gunung Tabur, Kabupaten Berau</t>
  </si>
  <si>
    <t>U : 2°10'2.5"
T : 117°28'32.9"</t>
  </si>
  <si>
    <t>PT. BUMI SEGAH LESTARI</t>
  </si>
  <si>
    <t>I-202207281257333907870</t>
  </si>
  <si>
    <t>671.12/1484/I-KTL/2022</t>
  </si>
  <si>
    <t>912000160173700040002</t>
  </si>
  <si>
    <t>Kelurahan Tanjung Redeb, Kecamatan Tanjung Redeb, Kabupaten Berau</t>
  </si>
  <si>
    <t>U : 2°9'9.64"
T : 117°29'17.88"</t>
  </si>
  <si>
    <t>U : 2°9'8.32"
T : 117°29'18.99"</t>
  </si>
  <si>
    <t>PT. DHARMA SATYA NUSANTARA Tbk (Labanan)</t>
  </si>
  <si>
    <t>503/1235.1/DPMPTSP-IV/IX/2022;
848592</t>
  </si>
  <si>
    <t>671.12/1648/I-KTL/2022</t>
  </si>
  <si>
    <t>503/0354/SKTP/DPMPTSP/X/2022</t>
  </si>
  <si>
    <t>Desa Labanan Kecamatan Teluk Bayur, Kabupaten Berau</t>
  </si>
  <si>
    <t xml:space="preserve">2˚5’30,34”U
117˚19’16,54”T </t>
  </si>
  <si>
    <t>PT. BERAU COAL (PLTS Office)</t>
  </si>
  <si>
    <t>503/1168/DPMPTSP-IV/VIII/2022;
4A3A2B</t>
  </si>
  <si>
    <t>671.12/1649/I-KTL/2022</t>
  </si>
  <si>
    <t>503/0353/SKTP/DPMPTSP/X/2022</t>
  </si>
  <si>
    <t>Jl. Pemuda No. 40 Kelurahan Tanjung Redeb, Kecamatan Tanjung Redeb, Kabupaten Berau</t>
  </si>
  <si>
    <t xml:space="preserve">2°9’10.2”U
117°29’32.02”T </t>
  </si>
  <si>
    <t>PT. MULIA INTI PERKASA</t>
  </si>
  <si>
    <t>I-202210101604422505186</t>
  </si>
  <si>
    <t>671.12/1840/I-KTL/2022</t>
  </si>
  <si>
    <t>812021725047900040002</t>
  </si>
  <si>
    <t>Desa Long Ayan, Kecamatan Segah, Kabupaten Berau</t>
  </si>
  <si>
    <t>PT. BERAU COAL Site Binungan-Suaran</t>
  </si>
  <si>
    <t>I-202210261530100188621</t>
  </si>
  <si>
    <t>671.12/2091/I-KTL/2022</t>
  </si>
  <si>
    <t>812001303262500080003</t>
  </si>
  <si>
    <t>Desa Suaran, Kecamatan Sambaliung, Kabupaten Berau</t>
  </si>
  <si>
    <t>*Jumlah Rekomtek IUPTLS dikurangi 1, karena lokasi pembangkit pada Rekomtek nomor 671.12/1747/I-KTL/2022 berlaku lintas kabupaten di Kukar dan Kutim.</t>
  </si>
  <si>
    <t>PT. BERAU COAL Site Lati Mine Operation (LMO)</t>
  </si>
  <si>
    <t>I-202210311244280338428</t>
  </si>
  <si>
    <t>671.12/2089/I-KTL/2022</t>
  </si>
  <si>
    <t>812001303262500080004</t>
  </si>
  <si>
    <t>Desa Sambakungan, Kecamatan Gunung Tabur, Kabupaten Berau</t>
  </si>
  <si>
    <t>Desa Samburakat, Kecamatan Gunung Tabur, Kabupaten Berau</t>
  </si>
  <si>
    <t xml:space="preserve">U : 2°13’2.5”
T : 117°36’20.75” </t>
  </si>
  <si>
    <t xml:space="preserve">U : 2°10’37.53”
T : 117°32’5.93” </t>
  </si>
  <si>
    <t>I-202211280957142973260</t>
  </si>
  <si>
    <t>671.12/2240/I-KTL/2022</t>
  </si>
  <si>
    <t>U: 0°32'03.8843"
T: 116°07'34.3776"</t>
  </si>
  <si>
    <t>U: 0°32'6.26271"
T: 116°07'47.6619"</t>
  </si>
  <si>
    <t>U: 0°32'12.3666"
T: 116°07'59.6869"</t>
  </si>
  <si>
    <t>PT. BUKIT MAKMUR MANDIRI UTAMA (Site Tabang)</t>
  </si>
  <si>
    <t>Desa Umaq Dian, Kecamatan Tabang, Kabupaten Kutai Kartanegara</t>
  </si>
  <si>
    <t>812020188155200310006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</si>
</sst>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21]dd\ mmmm\ yyyy"/>
    <numFmt numFmtId="165" formatCode="[$-421]dd\ mmmm\ yyyy;@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12"/>
      <color theme="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4" fillId="0" borderId="0"/>
    <xf numFmtId="43" fontId="4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14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NumberFormat="1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10" xfId="0" quotePrefix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164" fontId="1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vertical="center" wrapText="1"/>
    </xf>
    <xf numFmtId="164" fontId="1" fillId="0" borderId="10" xfId="0" applyNumberFormat="1" applyFont="1" applyBorder="1" applyAlignment="1">
      <alignment horizontal="center" vertical="center"/>
    </xf>
    <xf numFmtId="0" fontId="1" fillId="0" borderId="11" xfId="0" quotePrefix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quotePrefix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 wrapText="1"/>
    </xf>
    <xf numFmtId="0" fontId="1" fillId="0" borderId="10" xfId="0" quotePrefix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0" fontId="1" fillId="0" borderId="11" xfId="1" applyFont="1" applyBorder="1" applyAlignment="1">
      <alignment vertical="center" wrapText="1"/>
    </xf>
    <xf numFmtId="164" fontId="1" fillId="0" borderId="12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left" vertical="center" wrapText="1"/>
    </xf>
    <xf numFmtId="49" fontId="1" fillId="0" borderId="12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164" fontId="7" fillId="0" borderId="11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 wrapText="1"/>
    </xf>
    <xf numFmtId="49" fontId="7" fillId="0" borderId="11" xfId="0" applyNumberFormat="1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center" vertical="center" wrapText="1"/>
    </xf>
    <xf numFmtId="164" fontId="7" fillId="0" borderId="12" xfId="0" applyNumberFormat="1" applyFont="1" applyBorder="1" applyAlignment="1">
      <alignment horizontal="center" vertical="center"/>
    </xf>
    <xf numFmtId="49" fontId="7" fillId="0" borderId="12" xfId="0" applyNumberFormat="1" applyFont="1" applyBorder="1" applyAlignment="1">
      <alignment horizontal="left" vertical="center" wrapText="1"/>
    </xf>
    <xf numFmtId="0" fontId="1" fillId="0" borderId="0" xfId="0" applyFont="1" applyBorder="1" applyAlignment="1">
      <alignment vertical="center" wrapText="1"/>
    </xf>
    <xf numFmtId="164" fontId="7" fillId="0" borderId="11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1" fillId="6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0" borderId="0" xfId="4" applyNumberFormat="1" applyFont="1" applyAlignment="1">
      <alignment horizontal="left" vertical="center"/>
    </xf>
    <xf numFmtId="0" fontId="0" fillId="5" borderId="1" xfId="3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49" fontId="1" fillId="0" borderId="11" xfId="0" applyNumberFormat="1" applyFont="1" applyBorder="1" applyAlignment="1">
      <alignment horizontal="left" vertical="center" wrapText="1"/>
    </xf>
    <xf numFmtId="0" fontId="1" fillId="0" borderId="13" xfId="0" quotePrefix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left" vertical="center" wrapText="1"/>
    </xf>
    <xf numFmtId="49" fontId="1" fillId="0" borderId="11" xfId="0" applyNumberFormat="1" applyFont="1" applyBorder="1" applyAlignment="1">
      <alignment horizontal="center" vertical="center"/>
    </xf>
    <xf numFmtId="0" fontId="1" fillId="0" borderId="13" xfId="0" quotePrefix="1" applyFont="1" applyBorder="1" applyAlignment="1">
      <alignment horizontal="center" vertical="center" wrapText="1"/>
    </xf>
    <xf numFmtId="49" fontId="1" fillId="0" borderId="11" xfId="0" applyNumberFormat="1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 wrapText="1"/>
    </xf>
    <xf numFmtId="49" fontId="1" fillId="0" borderId="13" xfId="0" applyNumberFormat="1" applyFont="1" applyFill="1" applyBorder="1" applyAlignment="1">
      <alignment horizontal="left" vertical="center" wrapText="1"/>
    </xf>
    <xf numFmtId="0" fontId="1" fillId="0" borderId="13" xfId="0" applyFont="1" applyFill="1" applyBorder="1" applyAlignment="1">
      <alignment horizontal="left" vertical="center" wrapText="1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 wrapText="1"/>
    </xf>
    <xf numFmtId="49" fontId="1" fillId="7" borderId="13" xfId="0" applyNumberFormat="1" applyFont="1" applyFill="1" applyBorder="1" applyAlignment="1">
      <alignment horizontal="left" vertical="center" wrapText="1"/>
    </xf>
    <xf numFmtId="0" fontId="1" fillId="7" borderId="13" xfId="0" applyFont="1" applyFill="1" applyBorder="1" applyAlignment="1">
      <alignment horizontal="left" vertical="center" wrapText="1"/>
    </xf>
    <xf numFmtId="0" fontId="1" fillId="7" borderId="13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 wrapText="1"/>
    </xf>
    <xf numFmtId="49" fontId="1" fillId="7" borderId="12" xfId="0" applyNumberFormat="1" applyFont="1" applyFill="1" applyBorder="1" applyAlignment="1">
      <alignment horizontal="left" vertical="center" wrapText="1"/>
    </xf>
    <xf numFmtId="0" fontId="1" fillId="7" borderId="12" xfId="0" applyFont="1" applyFill="1" applyBorder="1" applyAlignment="1">
      <alignment horizontal="left" vertical="center" wrapText="1"/>
    </xf>
    <xf numFmtId="0" fontId="1" fillId="7" borderId="12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 wrapText="1"/>
    </xf>
    <xf numFmtId="164" fontId="1" fillId="0" borderId="10" xfId="0" quotePrefix="1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/>
    </xf>
    <xf numFmtId="49" fontId="1" fillId="7" borderId="11" xfId="0" applyNumberFormat="1" applyFont="1" applyFill="1" applyBorder="1" applyAlignment="1">
      <alignment horizontal="left" vertical="center" wrapText="1"/>
    </xf>
    <xf numFmtId="0" fontId="1" fillId="7" borderId="11" xfId="0" applyFont="1" applyFill="1" applyBorder="1" applyAlignment="1">
      <alignment horizontal="left" vertical="center" wrapText="1"/>
    </xf>
    <xf numFmtId="0" fontId="1" fillId="7" borderId="11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0" fillId="6" borderId="1" xfId="0" applyFill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5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5" borderId="8" xfId="0" applyNumberFormat="1" applyFont="1" applyFill="1" applyBorder="1" applyAlignment="1">
      <alignment horizontal="center" vertical="center" wrapText="1"/>
    </xf>
    <xf numFmtId="0" fontId="1" fillId="5" borderId="5" xfId="0" applyNumberFormat="1" applyFont="1" applyFill="1" applyBorder="1" applyAlignment="1">
      <alignment horizontal="center" vertical="center" wrapText="1"/>
    </xf>
  </cellXfs>
  <cellStyles count="5">
    <cellStyle name="Comma" xfId="4" builtinId="3"/>
    <cellStyle name="Comma 2" xfId="2" xr:uid="{9AF6D298-80DB-47F6-9AED-E1E86F3BE36C}"/>
    <cellStyle name="Currency" xfId="3" builtinId="4"/>
    <cellStyle name="Normal" xfId="0" builtinId="0"/>
    <cellStyle name="Normal 2" xfId="1" xr:uid="{C26E3CFA-87BA-43A0-BABF-9B24933E8C6F}"/>
  </cellStyles>
  <dxfs count="288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421]dd\ mmmm\ 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421]dd\ mmmm\ 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421]dd\ mmmm\ 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421]dd\ mmmm\ 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421]dd\ mmmm\ 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421]dd\ mmmm\ 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421]dd\ mmmm\ 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421]dd\ mmmm\ 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421]dd\ mmmm\ 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421]dd\ mmmm\ 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421]dd\ mmmm\ 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421]dd\ mmmm\ 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421]dd\ mmmm\ 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421]dd\ mmmm\ 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421]dd\ mmmm\ 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421]dd\ mmmm\ 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421]dd\ mmmm\ 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421]dd\ mmmm\ 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421]dd\ mmmm\ 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421]dd\ mmmm\ 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421]dd\ mmmm\ 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421]dd\ mmmm\ 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421]dd\ mmmm\ 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421]dd\ mmmm\ 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421]dd\ mmmm\ 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421]dd\ mmmm\ 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421]dd\ mmmm\ 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rgb="FF000000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421]dd\ mmmm\ 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421]dd\ mmmm\ yyyy"/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421]dd\ mmmm\ 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rgb="FF000000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left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89035B2-6F0A-413E-9428-DE0ED4634EE1}" name="Table11" displayName="Table11" ref="A5:E15" totalsRowShown="0" headerRowDxfId="287">
  <autoFilter ref="A5:E15" xr:uid="{889035B2-6F0A-413E-9428-DE0ED4634EE1}"/>
  <tableColumns count="5">
    <tableColumn id="1" xr3:uid="{850CA8E9-9757-4B64-9EF7-387B53FDDEF1}" name="1" dataDxfId="286"/>
    <tableColumn id="2" xr3:uid="{925A4F82-8B05-4685-8590-A8B8D062D8C2}" name="2"/>
    <tableColumn id="3" xr3:uid="{E6FE4A3E-3CBD-4151-A859-CF33421EE44D}" name="3" dataDxfId="285"/>
    <tableColumn id="4" xr3:uid="{E1B80ABB-BB8B-480A-91E4-45D8CFEF6B6C}" name="4" dataDxfId="284"/>
    <tableColumn id="5" xr3:uid="{23C148A9-8442-4936-BB09-D7530B21952C}" name="5" dataDxfId="283" dataCellStyle="Comma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13F23E-0539-40E7-878C-4636DEAFC69F}" name="Table13" displayName="Table13" ref="A5:S26" totalsRowShown="0" headerRowDxfId="282" dataDxfId="280" headerRowBorderDxfId="281" tableBorderDxfId="279" totalsRowBorderDxfId="278">
  <autoFilter ref="A5:S26" xr:uid="{D4E478F1-0500-42FD-892D-DF8B79E20892}"/>
  <tableColumns count="19">
    <tableColumn id="1" xr3:uid="{880483D2-7539-4A75-9FF1-144C3681454F}" name="1" dataDxfId="277">
      <calculatedColumnFormula>IF($C6&lt;&gt;"", SUBTOTAL(103,$C$6:C6), "")</calculatedColumnFormula>
    </tableColumn>
    <tableColumn id="2" xr3:uid="{B29A17F2-CCBB-4394-AA95-D43DFBAC76A6}" name="2" dataDxfId="276"/>
    <tableColumn id="3" xr3:uid="{0CE2AD9A-A5B0-4A29-98F9-859E57B07EFC}" name="3" dataDxfId="275"/>
    <tableColumn id="4" xr3:uid="{96749934-1811-47DF-860C-C1DC9231372E}" name="4" dataDxfId="274"/>
    <tableColumn id="5" xr3:uid="{6BBF219D-5280-4EED-8E1B-C1C3816869A2}" name="5" dataDxfId="273"/>
    <tableColumn id="6" xr3:uid="{B60413C6-120A-4BCB-8AE4-4E53E72D429F}" name="6" dataDxfId="272"/>
    <tableColumn id="7" xr3:uid="{58CCC0A8-2304-4E72-9D03-BCCA4DB56650}" name="7" dataDxfId="271"/>
    <tableColumn id="8" xr3:uid="{2A7DFDEB-8055-4140-9585-08554224A801}" name="8" dataDxfId="270"/>
    <tableColumn id="9" xr3:uid="{9961E2B8-3A40-4724-8875-07A94C3C2C08}" name="9" dataDxfId="269"/>
    <tableColumn id="10" xr3:uid="{06A4301F-A8C6-45CE-B6EE-8616A9008B30}" name="10" dataDxfId="268"/>
    <tableColumn id="11" xr3:uid="{EDD1237B-13EA-4C88-A2EC-96A083508497}" name="11" dataDxfId="267"/>
    <tableColumn id="12" xr3:uid="{4365CE3E-7963-4C86-9B64-8CF21B31FC87}" name="12" dataDxfId="266"/>
    <tableColumn id="13" xr3:uid="{B6115506-E84F-4FC4-83AB-67DA87E938D6}" name="13" dataDxfId="265"/>
    <tableColumn id="14" xr3:uid="{3E33B222-DD88-4A03-977A-F49C408EF2A8}" name="14" dataDxfId="264"/>
    <tableColumn id="15" xr3:uid="{F1932E46-C112-4223-B573-322B363C66D9}" name="15" dataDxfId="263"/>
    <tableColumn id="16" xr3:uid="{A8ABF0B5-030F-4404-BF43-BDF18648C68C}" name="16 (14*15)" dataDxfId="262">
      <calculatedColumnFormula>Table13[[#This Row],[14]]*Table13[[#This Row],[15]]</calculatedColumnFormula>
    </tableColumn>
    <tableColumn id="17" xr3:uid="{0D2DCD67-AB03-4F27-9D52-9BFE8F6B9246}" name="17" dataDxfId="261"/>
    <tableColumn id="18" xr3:uid="{AE29B91D-CD27-4CCD-B920-46F7D39BC906}" name="18" dataDxfId="260"/>
    <tableColumn id="19" xr3:uid="{F97E521B-4F9E-4551-9710-27D04EF1FFE1}" name="19" dataDxfId="259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478F1-0500-42FD-892D-DF8B79E20892}" name="Table1" displayName="Table1" ref="A5:S28" totalsRowShown="0" headerRowDxfId="258" dataDxfId="256" headerRowBorderDxfId="257" tableBorderDxfId="255" totalsRowBorderDxfId="254">
  <autoFilter ref="A5:S28" xr:uid="{D4E478F1-0500-42FD-892D-DF8B79E20892}"/>
  <tableColumns count="19">
    <tableColumn id="1" xr3:uid="{E396EA63-E22A-476D-B3D8-884EDE105AA4}" name="1" dataDxfId="253">
      <calculatedColumnFormula>IF($C6&lt;&gt;"", SUBTOTAL(103,$C$6:C6), "")</calculatedColumnFormula>
    </tableColumn>
    <tableColumn id="2" xr3:uid="{4F9A107A-7FE9-495C-B388-560377B8068A}" name="2" dataDxfId="252"/>
    <tableColumn id="3" xr3:uid="{511C74E1-81D4-4F97-86DD-90E1820B3CFC}" name="3" dataDxfId="251"/>
    <tableColumn id="4" xr3:uid="{F4675F23-FD6A-4A23-B3EB-84FC6F8C228F}" name="4" dataDxfId="250"/>
    <tableColumn id="5" xr3:uid="{92010FD7-691A-432A-B581-DEBA0440E742}" name="5" dataDxfId="249"/>
    <tableColumn id="6" xr3:uid="{830BB99D-296F-45E8-B752-F9183B4317F0}" name="6" dataDxfId="248"/>
    <tableColumn id="7" xr3:uid="{FB3A3E2F-3095-4F18-BEBD-8B95B6817D91}" name="7" dataDxfId="247"/>
    <tableColumn id="8" xr3:uid="{60EF4661-9026-4D75-9AF9-5523B9BD9624}" name="8" dataDxfId="246"/>
    <tableColumn id="9" xr3:uid="{2A961EE8-9959-4C38-A785-70035544BEE1}" name="9" dataDxfId="245"/>
    <tableColumn id="10" xr3:uid="{89EF8D8D-E4B7-4E74-A3B3-62C878BFC019}" name="10" dataDxfId="244"/>
    <tableColumn id="11" xr3:uid="{D3DCB1B2-AE74-4202-9DB0-0D6011819505}" name="11" dataDxfId="243">
      <calculatedColumnFormula>IF($E6="IUPTLS",IF(ISBLANK(J6), " ", DATE(YEAR(J6)+5,MONTH(J6),DAY(J6))),IF($E6="SKTP","",""))</calculatedColumnFormula>
    </tableColumn>
    <tableColumn id="12" xr3:uid="{7D028075-54AD-44DB-A907-535BAE291DF4}" name="12" dataDxfId="242"/>
    <tableColumn id="13" xr3:uid="{E811456F-99C3-4B98-8C7F-F6226B7D345B}" name="13" dataDxfId="241"/>
    <tableColumn id="14" xr3:uid="{5877C1E6-43B6-403E-9FB6-F8D721936C02}" name="14" dataDxfId="240"/>
    <tableColumn id="15" xr3:uid="{34E8C8CF-038F-4DE7-B3F6-B56C7E4C5155}" name="15" dataDxfId="239"/>
    <tableColumn id="16" xr3:uid="{5B9DA9B2-9E7A-4B3D-A5E5-02FEC0D4D3DC}" name="16 (14*15)" dataDxfId="238">
      <calculatedColumnFormula>Table1[[#This Row],[15]]*Table1[[#This Row],[14]]</calculatedColumnFormula>
    </tableColumn>
    <tableColumn id="17" xr3:uid="{D5A29655-0306-4E1C-91BD-1E2C1AAC6737}" name="17" dataDxfId="237"/>
    <tableColumn id="18" xr3:uid="{D3F60113-12A9-421A-B845-0B4B337CE121}" name="18" dataDxfId="236"/>
    <tableColumn id="19" xr3:uid="{B13770C0-04EB-42C6-AF6B-D749BE89EA27}" name="19" dataDxfId="235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97BD36-EB42-466F-A864-105CAD7E08B1}" name="Table14" displayName="Table14" ref="A5:S58" totalsRowShown="0" headerRowDxfId="234" dataDxfId="232" headerRowBorderDxfId="233" tableBorderDxfId="231" totalsRowBorderDxfId="230">
  <autoFilter ref="A5:S58" xr:uid="{D4E478F1-0500-42FD-892D-DF8B79E20892}"/>
  <tableColumns count="19">
    <tableColumn id="1" xr3:uid="{F4AB4B72-53B1-42D2-88C3-B5418B720CF4}" name="1" dataDxfId="229">
      <calculatedColumnFormula>IF($C6&lt;&gt;"", SUBTOTAL(103,$C$6:C6), "")</calculatedColumnFormula>
    </tableColumn>
    <tableColumn id="2" xr3:uid="{10407B75-8B70-49AD-A0BD-3C976801A617}" name="2" dataDxfId="228"/>
    <tableColumn id="3" xr3:uid="{1700C599-A680-4379-BE85-C566EDC7FE65}" name="3" dataDxfId="227"/>
    <tableColumn id="4" xr3:uid="{9B4349A2-3B26-4226-81F8-ED9A0BE25248}" name="4" dataDxfId="226"/>
    <tableColumn id="5" xr3:uid="{ACF31138-B32D-475B-9BC9-CCB98FD5B22F}" name="5" dataDxfId="225"/>
    <tableColumn id="6" xr3:uid="{99777D33-6CB7-44F6-9073-60ECD354ADA8}" name="6" dataDxfId="224"/>
    <tableColumn id="7" xr3:uid="{D9BC6D44-5C35-4487-BAAA-85CA68CD98EA}" name="7" dataDxfId="223"/>
    <tableColumn id="8" xr3:uid="{82E91567-5D07-48F1-AEB3-C81CA6CFD511}" name="8" dataDxfId="222"/>
    <tableColumn id="9" xr3:uid="{E947D945-B040-486B-A111-36B20539D4A6}" name="9" dataDxfId="221"/>
    <tableColumn id="10" xr3:uid="{8EDC10AA-0378-4EB4-BA04-6886D5D72E0F}" name="10" dataDxfId="220"/>
    <tableColumn id="11" xr3:uid="{FCE16E5D-5F8B-481F-9D90-EB7398C1D534}" name="11" dataDxfId="219">
      <calculatedColumnFormula>IF($E6="IUPTLS",IF(ISBLANK(J6), " ", DATE(YEAR(J6)+5,MONTH(J6),DAY(J6))),IF($E6="SKTP","",""))</calculatedColumnFormula>
    </tableColumn>
    <tableColumn id="12" xr3:uid="{2A4C5EA9-B7E7-40C6-966A-242E8FB98419}" name="12" dataDxfId="218"/>
    <tableColumn id="13" xr3:uid="{B88F5920-736D-4869-939A-225281755390}" name="13" dataDxfId="217"/>
    <tableColumn id="14" xr3:uid="{8E7AF30E-7C27-4566-9A40-51B4F3073702}" name="14" dataDxfId="216"/>
    <tableColumn id="15" xr3:uid="{D1D2C51C-BBB0-45EF-BF41-1ADC72761457}" name="15" dataDxfId="215"/>
    <tableColumn id="16" xr3:uid="{84DFFE28-1228-4F90-A9CA-8B7B9AE40002}" name="16 (14*15)" dataDxfId="214">
      <calculatedColumnFormula>Table14[[#This Row],[14]]*Table14[[#This Row],[15]]</calculatedColumnFormula>
    </tableColumn>
    <tableColumn id="17" xr3:uid="{F3819725-023C-440B-8629-B8AED722CE13}" name="17" dataDxfId="213"/>
    <tableColumn id="18" xr3:uid="{08506CB8-3002-4F61-A58A-5984F6C7CD92}" name="18" dataDxfId="212"/>
    <tableColumn id="19" xr3:uid="{FA5007B7-88E7-4ACC-8E00-EEC28F01F012}" name="19" dataDxfId="211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88BF52-954E-4654-A924-4543869044C8}" name="Table145" displayName="Table145" ref="A5:S28" totalsRowShown="0" headerRowDxfId="210" dataDxfId="208" headerRowBorderDxfId="209" tableBorderDxfId="207" totalsRowBorderDxfId="206">
  <autoFilter ref="A5:S28" xr:uid="{D4E478F1-0500-42FD-892D-DF8B79E20892}"/>
  <tableColumns count="19">
    <tableColumn id="1" xr3:uid="{AFB89031-80AA-48F5-8FFB-3B2EC63207D6}" name="1" dataDxfId="205">
      <calculatedColumnFormula>IF($C6&lt;&gt;"", SUBTOTAL(103,$C$6:C6), "")</calculatedColumnFormula>
    </tableColumn>
    <tableColumn id="2" xr3:uid="{52DE2394-8162-40A6-8CF2-0F702830CE1C}" name="2" dataDxfId="204"/>
    <tableColumn id="3" xr3:uid="{95548A5F-20C4-4EB5-875D-4894F281E3F6}" name="3" dataDxfId="203"/>
    <tableColumn id="4" xr3:uid="{69DC65DF-C1C5-4BF9-A4DB-418E90B492BC}" name="4" dataDxfId="202"/>
    <tableColumn id="5" xr3:uid="{A50C00F7-213C-4BB9-8D46-D634FB4A74B7}" name="5" dataDxfId="201"/>
    <tableColumn id="6" xr3:uid="{2B86E80B-573D-49B0-BBB3-91BAFD0BD4D0}" name="6" dataDxfId="200"/>
    <tableColumn id="7" xr3:uid="{EDCE783E-49D3-42A7-BB8B-049C1F3A0018}" name="7" dataDxfId="199"/>
    <tableColumn id="8" xr3:uid="{28ABF560-E40C-4E63-AF0D-9714FE5F2BDA}" name="8" dataDxfId="198"/>
    <tableColumn id="9" xr3:uid="{8CEE062F-BFB2-49FF-8CCE-D1B08EC315A8}" name="9" dataDxfId="197"/>
    <tableColumn id="10" xr3:uid="{9F8C3912-F947-4A2A-B37D-3CDDCC9D1668}" name="10" dataDxfId="196"/>
    <tableColumn id="11" xr3:uid="{549A8C7C-4AC2-49C4-AF32-68B71206A80A}" name="11" dataDxfId="195">
      <calculatedColumnFormula>IF($E6="IUPTLS",IF(ISBLANK(J6), " ", DATE(YEAR(J6)+5,MONTH(J6),DAY(J6))),IF($E6="SKTP","",""))</calculatedColumnFormula>
    </tableColumn>
    <tableColumn id="12" xr3:uid="{B8BC9136-2F8A-44B6-8DC7-160FE64AFB3B}" name="12" dataDxfId="194"/>
    <tableColumn id="13" xr3:uid="{4926A92C-5AD2-427E-8A9D-839587B2E0FD}" name="13" dataDxfId="193"/>
    <tableColumn id="14" xr3:uid="{3B9A30F9-1B2C-404F-8263-AD4364747DCE}" name="14" dataDxfId="192"/>
    <tableColumn id="15" xr3:uid="{756D3555-280B-4DE9-A4F1-C5AC8FEA5DBA}" name="15" dataDxfId="191"/>
    <tableColumn id="16" xr3:uid="{3138FE00-F3EE-4EB1-B153-5A76CBC48B65}" name="16 (14*15)" dataDxfId="190">
      <calculatedColumnFormula>Table145[[#This Row],[14]]*Table145[[#This Row],[15]]</calculatedColumnFormula>
    </tableColumn>
    <tableColumn id="17" xr3:uid="{B8828E38-FEAB-479A-BCB1-56E4B9931309}" name="17" dataDxfId="189"/>
    <tableColumn id="18" xr3:uid="{4423D3C2-4208-4911-920E-9433873D1A62}" name="18" dataDxfId="188"/>
    <tableColumn id="19" xr3:uid="{FA895E0F-7321-49F9-B079-440C88F7AD44}" name="19" dataDxfId="187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8C2267-B860-4743-81B9-83E493B93362}" name="Table1456" displayName="Table1456" ref="A5:S14" totalsRowShown="0" headerRowDxfId="186" dataDxfId="184" headerRowBorderDxfId="185" tableBorderDxfId="183" totalsRowBorderDxfId="182">
  <autoFilter ref="A5:S14" xr:uid="{D4E478F1-0500-42FD-892D-DF8B79E20892}"/>
  <tableColumns count="19">
    <tableColumn id="1" xr3:uid="{DFFE08CC-AB01-4C26-89F2-2DC579A69B39}" name="1" dataDxfId="181">
      <calculatedColumnFormula>IF($C6&lt;&gt;"", SUBTOTAL(103,$C$6:C6), "")</calculatedColumnFormula>
    </tableColumn>
    <tableColumn id="2" xr3:uid="{23927CD8-E25B-4133-984D-1A9FD00D312B}" name="2" dataDxfId="180"/>
    <tableColumn id="3" xr3:uid="{AF4212E1-F224-4C38-AEF0-A632ED0EE1EC}" name="3" dataDxfId="179"/>
    <tableColumn id="4" xr3:uid="{FBED7C94-3199-4C53-A890-E645D79ECE5B}" name="4" dataDxfId="178"/>
    <tableColumn id="5" xr3:uid="{9481E44E-93A9-4C7B-A506-B6B3EEF70675}" name="5" dataDxfId="177"/>
    <tableColumn id="6" xr3:uid="{6908C7AD-FAD1-4A3B-9D6F-DE84F11B0B1F}" name="6" dataDxfId="176"/>
    <tableColumn id="7" xr3:uid="{80EBC49F-5E69-4341-9B1D-612FAC62B7C0}" name="7" dataDxfId="175"/>
    <tableColumn id="8" xr3:uid="{D9B7FE41-3E97-4C6F-8EF7-651A502F841F}" name="8" dataDxfId="174"/>
    <tableColumn id="9" xr3:uid="{2CE0C6CD-E27F-4F29-B445-F7BB0AD0FC9A}" name="9" dataDxfId="173"/>
    <tableColumn id="10" xr3:uid="{26578122-3285-403B-AC58-0A8486EC42C4}" name="10" dataDxfId="172"/>
    <tableColumn id="11" xr3:uid="{B4820C4F-A9C3-424D-84FE-0A9DCC47E3DD}" name="11" dataDxfId="171">
      <calculatedColumnFormula>IF($E6="IUPTLS",IF(ISBLANK(J6), " ", DATE(YEAR(J6)+5,MONTH(J6),DAY(J6))),IF($E6="SKTP","",""))</calculatedColumnFormula>
    </tableColumn>
    <tableColumn id="12" xr3:uid="{65945B3B-0A07-4ABD-BF39-A31E3F8D34F3}" name="12" dataDxfId="170"/>
    <tableColumn id="13" xr3:uid="{4865F5F0-2D39-40ED-8144-FBC7BDDF2E6E}" name="13" dataDxfId="169"/>
    <tableColumn id="14" xr3:uid="{88EE5A3E-8FA3-4F48-B749-8C68AEDA5541}" name="14" dataDxfId="168"/>
    <tableColumn id="15" xr3:uid="{7909897A-306A-4745-A565-A98736A2D107}" name="15" dataDxfId="167"/>
    <tableColumn id="16" xr3:uid="{27CB5DF5-B364-435C-AF2D-31DE03FA2DD4}" name="16 (14*15)" dataDxfId="166">
      <calculatedColumnFormula>Table1456[[#This Row],[14]]*Table1456[[#This Row],[15]]</calculatedColumnFormula>
    </tableColumn>
    <tableColumn id="17" xr3:uid="{3F047634-A025-45DA-9B14-A93EC546499D}" name="17" dataDxfId="165"/>
    <tableColumn id="18" xr3:uid="{CD64753C-9E3D-411B-8A87-3013A9B7CAA6}" name="18" dataDxfId="164"/>
    <tableColumn id="19" xr3:uid="{4D95E45D-A59B-45E8-99F0-C00D6903D3CC}" name="19" dataDxfId="163"/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91B46E-7B58-48B5-B0B0-CB84F4B22142}" name="Table14567" displayName="Table14567" ref="A5:S16" totalsRowShown="0" headerRowDxfId="162" dataDxfId="160" headerRowBorderDxfId="161" tableBorderDxfId="159" totalsRowBorderDxfId="158">
  <autoFilter ref="A5:S16" xr:uid="{D4E478F1-0500-42FD-892D-DF8B79E20892}"/>
  <tableColumns count="19">
    <tableColumn id="1" xr3:uid="{7A571A12-7772-4E65-A4DF-2F7FC2186B7D}" name="1" dataDxfId="157">
      <calculatedColumnFormula>IF($C6&lt;&gt;"", SUBTOTAL(103,$C$6:C6), "")</calculatedColumnFormula>
    </tableColumn>
    <tableColumn id="2" xr3:uid="{EBEBD539-3CC8-4293-8FDF-AE2443DE2871}" name="2" dataDxfId="156"/>
    <tableColumn id="3" xr3:uid="{06F6BCA3-F3B6-46A2-B16B-9A1DF8D1174A}" name="3" dataDxfId="155"/>
    <tableColumn id="4" xr3:uid="{3E77BDFF-4C93-42AB-B23E-B60AFDD67E54}" name="4" dataDxfId="154"/>
    <tableColumn id="5" xr3:uid="{4C518093-F13B-4B61-B7CE-F03B7DD3401D}" name="5" dataDxfId="153"/>
    <tableColumn id="6" xr3:uid="{C6A8EB82-76BD-40AC-9A9C-913353289967}" name="6" dataDxfId="152"/>
    <tableColumn id="7" xr3:uid="{EB9E3FF2-C05C-47D8-9BD2-86A1B480AA22}" name="7" dataDxfId="151"/>
    <tableColumn id="8" xr3:uid="{1517423E-A337-491F-A94B-765178613B9D}" name="8" dataDxfId="150"/>
    <tableColumn id="9" xr3:uid="{0997EC79-6CBA-41DE-8F76-0072CDC2A95B}" name="9" dataDxfId="149"/>
    <tableColumn id="10" xr3:uid="{4E145A0A-E6DE-4A39-A029-328294116EE9}" name="10" dataDxfId="148"/>
    <tableColumn id="11" xr3:uid="{1060A593-ABDB-4921-9B39-96DFC8BF410F}" name="11" dataDxfId="147">
      <calculatedColumnFormula>IF($E6="IUPTLS",IF(ISBLANK(J6), " ", DATE(YEAR(J6)+5,MONTH(J6),DAY(J6))),IF($E6="SKTP","",""))</calculatedColumnFormula>
    </tableColumn>
    <tableColumn id="12" xr3:uid="{770AC949-F1D3-4C5B-AADE-6C7F6570702A}" name="12" dataDxfId="146"/>
    <tableColumn id="13" xr3:uid="{89E1C58C-810C-4B2E-A585-A269DF3497DC}" name="13" dataDxfId="145"/>
    <tableColumn id="14" xr3:uid="{675B6071-4E69-4544-AE59-85CBE14B4741}" name="14" dataDxfId="144"/>
    <tableColumn id="15" xr3:uid="{2EDCD946-A283-4F6B-B046-9F999C67D508}" name="15" dataDxfId="143"/>
    <tableColumn id="16" xr3:uid="{C0E8B7B4-E667-4E46-A1B6-FE77270F1653}" name="16 (14*15)" dataDxfId="142">
      <calculatedColumnFormula>Table14567[[#This Row],[14]]*Table14567[[#This Row],[15]]</calculatedColumnFormula>
    </tableColumn>
    <tableColumn id="17" xr3:uid="{35AFED33-37E5-4D74-9CA5-0297BA8F4E60}" name="17" dataDxfId="141"/>
    <tableColumn id="18" xr3:uid="{0ACEDE30-5D82-4888-A4AF-F6FB2C31350C}" name="18" dataDxfId="140"/>
    <tableColumn id="19" xr3:uid="{9B8A3C17-28B5-4633-B42B-FA8980556EEE}" name="19" dataDxfId="139"/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E1FB66A-C3E1-481E-A5A4-F088F63C9DA3}" name="Table145678" displayName="Table145678" ref="A5:S11" totalsRowShown="0" headerRowDxfId="138" dataDxfId="136" headerRowBorderDxfId="137" tableBorderDxfId="135" totalsRowBorderDxfId="134">
  <autoFilter ref="A5:S11" xr:uid="{D4E478F1-0500-42FD-892D-DF8B79E20892}"/>
  <tableColumns count="19">
    <tableColumn id="1" xr3:uid="{9562174D-FCC5-45CA-8F29-1FCC6A06F760}" name="1" dataDxfId="133">
      <calculatedColumnFormula>IF($C6&lt;&gt;"", SUBTOTAL(103,$C$6:C6), "")</calculatedColumnFormula>
    </tableColumn>
    <tableColumn id="2" xr3:uid="{B3583EB5-3F2B-45C8-A372-53279E28D1A3}" name="2" dataDxfId="132"/>
    <tableColumn id="3" xr3:uid="{877C0BEF-60D3-4F10-BA45-9DB359C2D38F}" name="3" dataDxfId="131"/>
    <tableColumn id="4" xr3:uid="{D6313F59-DBFB-4474-A062-7360BE318E58}" name="4" dataDxfId="130"/>
    <tableColumn id="5" xr3:uid="{A6004E16-6F1C-41E7-963D-F91DB8B8A30F}" name="5" dataDxfId="129"/>
    <tableColumn id="6" xr3:uid="{08FEAF23-7CCA-405B-A410-6049DBB392B6}" name="6" dataDxfId="128"/>
    <tableColumn id="7" xr3:uid="{343D58EC-035A-4133-A702-4E3DBB50D94F}" name="7" dataDxfId="127"/>
    <tableColumn id="8" xr3:uid="{EB059FB3-6DBA-4194-8579-70B1BE9544A6}" name="8" dataDxfId="126"/>
    <tableColumn id="9" xr3:uid="{448F7B01-9798-41B7-9E25-73DB94A551A6}" name="9" dataDxfId="125"/>
    <tableColumn id="10" xr3:uid="{91369637-4329-4EB0-B421-2C81B2A048C8}" name="10" dataDxfId="124"/>
    <tableColumn id="11" xr3:uid="{778B5468-B57C-4FF0-AFD7-71F3D6DAAA5A}" name="11" dataDxfId="123">
      <calculatedColumnFormula>IF($E6="IUPTLS",IF(ISBLANK(J6), " ", DATE(YEAR(J6)+5,MONTH(J6),DAY(J6))),IF($E6="SKTP","",""))</calculatedColumnFormula>
    </tableColumn>
    <tableColumn id="12" xr3:uid="{0C6C821C-5128-48E8-B328-2D888D0E5475}" name="12" dataDxfId="122"/>
    <tableColumn id="13" xr3:uid="{8FE0E89C-5F45-4254-9741-B6BFD71E83E7}" name="13" dataDxfId="121"/>
    <tableColumn id="14" xr3:uid="{0852B6CD-E730-4EE2-8EBA-F7510BB36DDC}" name="14" dataDxfId="120"/>
    <tableColumn id="15" xr3:uid="{CFC60859-117E-48D3-AFE6-2D2E7C3FB58D}" name="15" dataDxfId="119"/>
    <tableColumn id="16" xr3:uid="{F0C0361B-BE17-49EA-86B0-92732DA7F7DC}" name="16 (14*15)" dataDxfId="118">
      <calculatedColumnFormula>Table145678[[#This Row],[14]]*Table145678[[#This Row],[15]]</calculatedColumnFormula>
    </tableColumn>
    <tableColumn id="17" xr3:uid="{2CE05E74-7ABC-497A-96BF-4695B8A0009A}" name="17" dataDxfId="117"/>
    <tableColumn id="18" xr3:uid="{5B889047-3B92-4822-AF39-F3A61015A473}" name="18" dataDxfId="116"/>
    <tableColumn id="19" xr3:uid="{D3D3F3AB-7EF7-4F68-98C3-FF04C9523842}" name="19" dataDxfId="115"/>
  </tableColumns>
  <tableStyleInfo name="TableStyleMedium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12396DC-DC83-42BF-9E25-F61B049731ED}" name="Table1456789" displayName="Table1456789" ref="A5:S12" totalsRowShown="0" headerRowDxfId="114" dataDxfId="112" headerRowBorderDxfId="113" tableBorderDxfId="111" totalsRowBorderDxfId="110">
  <autoFilter ref="A5:S12" xr:uid="{D4E478F1-0500-42FD-892D-DF8B79E20892}"/>
  <tableColumns count="19">
    <tableColumn id="1" xr3:uid="{52EE7EDE-5E35-4301-8B6B-44995E8F8F02}" name="1" dataDxfId="109">
      <calculatedColumnFormula>IF($C6&lt;&gt;"", SUBTOTAL(103,$C$6:C6), "")</calculatedColumnFormula>
    </tableColumn>
    <tableColumn id="2" xr3:uid="{2A2BEC8B-B48E-4B89-ACB7-C4BE4649DF69}" name="2" dataDxfId="108"/>
    <tableColumn id="3" xr3:uid="{BDB91559-509A-4E28-88C4-A24BA6754E09}" name="3" dataDxfId="107"/>
    <tableColumn id="4" xr3:uid="{D9A1C223-CBEA-4470-AF8A-7F493E650EF1}" name="4" dataDxfId="106"/>
    <tableColumn id="5" xr3:uid="{DF492B64-B2AE-4446-95DA-83C8ACEF406C}" name="5" dataDxfId="105"/>
    <tableColumn id="6" xr3:uid="{44ABB1EA-B1B9-4BCC-92EF-30D9713E96F5}" name="6" dataDxfId="104"/>
    <tableColumn id="7" xr3:uid="{137CC5B8-D573-4FDB-9E9B-06FDB38277D9}" name="7" dataDxfId="103"/>
    <tableColumn id="8" xr3:uid="{F3EEDFC3-6EC4-4B32-AB5F-12C1C97A609B}" name="8" dataDxfId="102"/>
    <tableColumn id="9" xr3:uid="{CD88B683-8090-4498-82E9-12EF819B3DBD}" name="9" dataDxfId="101"/>
    <tableColumn id="10" xr3:uid="{19D70403-2C04-4839-8CBD-E9D673C68BA9}" name="10" dataDxfId="100"/>
    <tableColumn id="11" xr3:uid="{AE813C62-1F30-40DB-A819-3C9EE1082AD6}" name="11" dataDxfId="99">
      <calculatedColumnFormula>IF($E6="IUPTLS",IF(ISBLANK(J6), " ", DATE(YEAR(J6)+5,MONTH(J6),DAY(J6))),IF($E6="SKTP","",""))</calculatedColumnFormula>
    </tableColumn>
    <tableColumn id="12" xr3:uid="{2380D642-05C1-4584-9C35-9BCD300195E4}" name="12" dataDxfId="98"/>
    <tableColumn id="13" xr3:uid="{590CE7FF-4A80-464A-A338-1416D6B07D88}" name="13" dataDxfId="97"/>
    <tableColumn id="14" xr3:uid="{DB0EC6F8-2CB1-42B0-9111-F947468661A5}" name="14" dataDxfId="96"/>
    <tableColumn id="15" xr3:uid="{F9A0A29C-1DD2-4ECF-8185-6FC9F9FAF323}" name="15" dataDxfId="95"/>
    <tableColumn id="16" xr3:uid="{B4CACBBF-C287-41B0-A4C6-A2A835739FA7}" name="16 (14*15)" dataDxfId="94">
      <calculatedColumnFormula>Table1456789[[#This Row],[14]]*Table1456789[[#This Row],[15]]</calculatedColumnFormula>
    </tableColumn>
    <tableColumn id="17" xr3:uid="{38227475-B494-49C4-9E38-66AB7E004DE5}" name="17" dataDxfId="93"/>
    <tableColumn id="18" xr3:uid="{A60E17D8-9C67-4837-8381-F8A0B19459C0}" name="18" dataDxfId="92"/>
    <tableColumn id="19" xr3:uid="{30BE5899-09A7-4310-BCBC-6B32665DD728}" name="19" dataDxfId="91"/>
  </tableColumns>
  <tableStyleInfo name="TableStyleMedium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2F04FEB-0447-417D-B6DA-FE250711B3A3}" name="Table145678910" displayName="Table145678910" ref="A5:S30" totalsRowShown="0" headerRowDxfId="90" dataDxfId="88" headerRowBorderDxfId="89" tableBorderDxfId="87" totalsRowBorderDxfId="86">
  <autoFilter ref="A5:S30" xr:uid="{D4E478F1-0500-42FD-892D-DF8B79E20892}"/>
  <tableColumns count="19">
    <tableColumn id="1" xr3:uid="{DADEACE8-C266-4CD7-857B-4626555CD89A}" name="1" dataDxfId="85">
      <calculatedColumnFormula>IF($C6&lt;&gt;"", SUBTOTAL(103,$C$6:C6), "")</calculatedColumnFormula>
    </tableColumn>
    <tableColumn id="2" xr3:uid="{D642532B-B2BC-4AA9-8E86-8532691CB21E}" name="2" dataDxfId="84"/>
    <tableColumn id="3" xr3:uid="{DBA49EA1-41C3-4B60-A292-38F6589571D3}" name="3" dataDxfId="83"/>
    <tableColumn id="4" xr3:uid="{18A61E10-2FB0-460C-915E-906216841E8C}" name="4" dataDxfId="82"/>
    <tableColumn id="5" xr3:uid="{A0E7E7FA-D196-4E41-8B0B-4FB7F69FA3F1}" name="5" dataDxfId="81"/>
    <tableColumn id="6" xr3:uid="{6898D353-DB74-4D1E-8081-9B00200345E8}" name="6" dataDxfId="80"/>
    <tableColumn id="7" xr3:uid="{300CAF98-83DC-4D14-8FDD-A6734FA3819E}" name="7" dataDxfId="79"/>
    <tableColumn id="8" xr3:uid="{EBAB10DA-D72D-4CE8-9684-F6F3A11C15A6}" name="8" dataDxfId="78"/>
    <tableColumn id="9" xr3:uid="{82188D9A-B5C6-4CDE-9BBD-4028725515BB}" name="9" dataDxfId="77"/>
    <tableColumn id="10" xr3:uid="{B4517920-C68B-428A-90AB-9B0F2BA5D9A9}" name="10" dataDxfId="76"/>
    <tableColumn id="11" xr3:uid="{28B67612-C65E-4A86-9E62-E30B204B29DF}" name="11" dataDxfId="75">
      <calculatedColumnFormula>IF($E6="IUPTLS",IF(ISBLANK(J6), " ", DATE(YEAR(J6)+5,MONTH(J6),DAY(J6))),IF($E6="SKTP","",""))</calculatedColumnFormula>
    </tableColumn>
    <tableColumn id="12" xr3:uid="{53C8F2B1-62E1-4EA8-BD6B-421A7262A9BA}" name="12" dataDxfId="74"/>
    <tableColumn id="13" xr3:uid="{45A61BF5-CA7C-4142-A118-985617988765}" name="13" dataDxfId="73"/>
    <tableColumn id="14" xr3:uid="{1F4F5FD9-A625-4792-BBD0-04E1BCE64F52}" name="14" dataDxfId="72"/>
    <tableColumn id="15" xr3:uid="{E472FA52-920B-44DC-9EE6-59D0ECFCFBA8}" name="15" dataDxfId="71"/>
    <tableColumn id="16" xr3:uid="{CA5B1002-CFDC-4E44-A9DA-16104EE7EC1A}" name="16 (14*15)" dataDxfId="70">
      <calculatedColumnFormula>Table145678910[[#This Row],[14]]*Table145678910[[#This Row],[15]]</calculatedColumnFormula>
    </tableColumn>
    <tableColumn id="17" xr3:uid="{448EB341-AC6E-4444-82E1-7AC3BD705F75}" name="17" dataDxfId="69"/>
    <tableColumn id="18" xr3:uid="{738432B7-A6F8-4469-AFF2-0520EC59D315}" name="18" dataDxfId="68"/>
    <tableColumn id="19" xr3:uid="{34314F88-BD1B-4760-9C21-746B58186BC4}" name="19" dataDxfId="67"/>
  </tableColumns>
  <tableStyleInfo name="TableStyleMedium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F50E8C-67D6-40A6-8002-4C36E352E3F5}" name="Table14567891011" displayName="Table14567891011" ref="A5:S7" totalsRowShown="0" headerRowDxfId="66" dataDxfId="64" headerRowBorderDxfId="65" tableBorderDxfId="63" totalsRowBorderDxfId="62">
  <autoFilter ref="A5:S7" xr:uid="{D4E478F1-0500-42FD-892D-DF8B79E20892}"/>
  <tableColumns count="19">
    <tableColumn id="1" xr3:uid="{365CC342-B397-499A-86FF-91B81564533B}" name="1" dataDxfId="61">
      <calculatedColumnFormula>IF($C6&lt;&gt;"", SUBTOTAL(103,$C$6:C6), "")</calculatedColumnFormula>
    </tableColumn>
    <tableColumn id="2" xr3:uid="{FBF70304-EFD7-4B56-9F2F-46EFF4E52E9B}" name="2" dataDxfId="60"/>
    <tableColumn id="3" xr3:uid="{00E3A627-8487-4955-A897-90B1DA385BF1}" name="3" dataDxfId="59"/>
    <tableColumn id="4" xr3:uid="{3264973A-F1DD-453C-8A1A-EAFA965E28C7}" name="4" dataDxfId="58"/>
    <tableColumn id="5" xr3:uid="{1AC77EA2-0E9A-4AD3-A050-3B662FB05F3C}" name="5" dataDxfId="57"/>
    <tableColumn id="6" xr3:uid="{B70F07DA-8A14-489C-AE62-D9292274226F}" name="6" dataDxfId="56"/>
    <tableColumn id="7" xr3:uid="{D4F6CDFE-08D5-413B-ACB1-CD2057A4C01F}" name="7" dataDxfId="55"/>
    <tableColumn id="8" xr3:uid="{3CFA71BB-A9FB-4525-88C0-D949E93E4BB5}" name="8" dataDxfId="54"/>
    <tableColumn id="9" xr3:uid="{F476EE28-4021-4C6D-A6D5-9574DD089880}" name="9" dataDxfId="53"/>
    <tableColumn id="10" xr3:uid="{059B2937-23B4-48B4-8611-B59CD28EEC34}" name="10" dataDxfId="52"/>
    <tableColumn id="11" xr3:uid="{9A650CAE-21FB-4F89-9B7B-607ADE77E8FA}" name="11" dataDxfId="51">
      <calculatedColumnFormula>IF($E6="IUPTLS",IF(ISBLANK(J6), " ", DATE(YEAR(J6)+5,MONTH(J6),DAY(J6))),IF($E6="SKTP","",""))</calculatedColumnFormula>
    </tableColumn>
    <tableColumn id="12" xr3:uid="{E317B266-A00A-457B-85A8-832F186B32F6}" name="12" dataDxfId="50"/>
    <tableColumn id="13" xr3:uid="{2155C2D8-B538-44B4-9C0F-4AA81380FCF0}" name="13" dataDxfId="49"/>
    <tableColumn id="14" xr3:uid="{8D148EB1-C515-4849-90CC-5964CFC02E80}" name="14" dataDxfId="48"/>
    <tableColumn id="15" xr3:uid="{AD938A4D-CEA0-4566-B447-8807248AE29E}" name="15" dataDxfId="47"/>
    <tableColumn id="16" xr3:uid="{6700AC81-6D60-411E-8CDC-D72102E99DA6}" name="16 (14*15)" dataDxfId="46">
      <calculatedColumnFormula>Table14567891011[[#This Row],[14]]*Table14567891011[[#This Row],[15]]</calculatedColumnFormula>
    </tableColumn>
    <tableColumn id="17" xr3:uid="{17932C86-B781-408A-B66E-2BF0AD031AB5}" name="17" dataDxfId="45"/>
    <tableColumn id="18" xr3:uid="{97E01002-ACA8-4DA6-B006-B7BEB8F0B465}" name="18" dataDxfId="44"/>
    <tableColumn id="19" xr3:uid="{6AD22D1C-D31D-4F3B-A8A5-2BDCB7056958}" name="19" dataDxfId="43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4B392-65DA-42B0-BB34-F9563A44CEB8}">
  <sheetPr>
    <pageSetUpPr fitToPage="1"/>
  </sheetPr>
  <dimension ref="A1:R20"/>
  <sheetViews>
    <sheetView tabSelected="1" topLeftCell="A4" zoomScale="118" zoomScaleNormal="118" zoomScaleSheetLayoutView="100" workbookViewId="0">
      <selection activeCell="E25" sqref="E25"/>
    </sheetView>
  </sheetViews>
  <sheetFormatPr defaultRowHeight="14.4" x14ac:dyDescent="0.3"/>
  <cols>
    <col min="1" max="1" width="4" bestFit="1" customWidth="1"/>
    <col min="2" max="2" width="20.109375" bestFit="1" customWidth="1"/>
    <col min="3" max="4" width="8.6640625" customWidth="1"/>
    <col min="5" max="5" width="22.6640625" customWidth="1"/>
  </cols>
  <sheetData>
    <row r="1" spans="1:18" s="2" customFormat="1" ht="70.95" customHeight="1" x14ac:dyDescent="0.3">
      <c r="A1" s="128" t="s">
        <v>58</v>
      </c>
      <c r="B1" s="128"/>
      <c r="C1" s="128"/>
      <c r="D1" s="128"/>
      <c r="E1" s="128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</row>
    <row r="2" spans="1:18" ht="14.4" customHeight="1" x14ac:dyDescent="0.3">
      <c r="A2" s="77"/>
      <c r="B2" s="77"/>
      <c r="C2" s="77"/>
      <c r="D2" s="77"/>
      <c r="E2" s="77"/>
    </row>
    <row r="3" spans="1:18" x14ac:dyDescent="0.3">
      <c r="A3" s="129" t="s">
        <v>3</v>
      </c>
      <c r="B3" s="129" t="s">
        <v>44</v>
      </c>
      <c r="C3" s="129" t="s">
        <v>45</v>
      </c>
      <c r="D3" s="129"/>
      <c r="E3" s="130" t="s">
        <v>68</v>
      </c>
    </row>
    <row r="4" spans="1:18" x14ac:dyDescent="0.3">
      <c r="A4" s="129"/>
      <c r="B4" s="129"/>
      <c r="C4" s="76" t="s">
        <v>21</v>
      </c>
      <c r="D4" s="76" t="s">
        <v>22</v>
      </c>
      <c r="E4" s="130"/>
    </row>
    <row r="5" spans="1:18" x14ac:dyDescent="0.3">
      <c r="A5" s="75" t="s">
        <v>26</v>
      </c>
      <c r="B5" s="75" t="s">
        <v>27</v>
      </c>
      <c r="C5" s="75" t="s">
        <v>28</v>
      </c>
      <c r="D5" s="75" t="s">
        <v>29</v>
      </c>
      <c r="E5" s="75" t="s">
        <v>30</v>
      </c>
    </row>
    <row r="6" spans="1:18" x14ac:dyDescent="0.3">
      <c r="A6" s="74">
        <v>1</v>
      </c>
      <c r="B6" t="s">
        <v>46</v>
      </c>
      <c r="C6" s="74">
        <f>SAMARINDA!H29</f>
        <v>6</v>
      </c>
      <c r="D6" s="74">
        <f>SAMARINDA!H30</f>
        <v>7</v>
      </c>
      <c r="E6" s="85">
        <f>SAMARINDA!P29</f>
        <v>14774.5</v>
      </c>
    </row>
    <row r="7" spans="1:18" x14ac:dyDescent="0.3">
      <c r="A7" s="74">
        <v>2</v>
      </c>
      <c r="B7" t="s">
        <v>47</v>
      </c>
      <c r="C7" s="74">
        <f>BALIKPAPAN!H31</f>
        <v>10</v>
      </c>
      <c r="D7" s="74">
        <f>BALIKPAPAN!H32</f>
        <v>11</v>
      </c>
      <c r="E7" s="85">
        <f>BALIKPAPAN!P31</f>
        <v>18223</v>
      </c>
    </row>
    <row r="8" spans="1:18" x14ac:dyDescent="0.3">
      <c r="A8" s="74">
        <v>3</v>
      </c>
      <c r="B8" t="s">
        <v>48</v>
      </c>
      <c r="C8" s="74">
        <f>KUKAR!H61</f>
        <v>12</v>
      </c>
      <c r="D8" s="74">
        <f>KUKAR!H62</f>
        <v>3</v>
      </c>
      <c r="E8" s="85">
        <f>KUKAR!P61</f>
        <v>41971.9</v>
      </c>
    </row>
    <row r="9" spans="1:18" x14ac:dyDescent="0.3">
      <c r="A9" s="74">
        <v>4</v>
      </c>
      <c r="B9" t="s">
        <v>49</v>
      </c>
      <c r="C9" s="74">
        <f>KUTIM!H31</f>
        <v>4</v>
      </c>
      <c r="D9" s="74">
        <f>KUTIM!H32</f>
        <v>4</v>
      </c>
      <c r="E9" s="85">
        <f>KUTIM!P31</f>
        <v>10702.5</v>
      </c>
    </row>
    <row r="10" spans="1:18" x14ac:dyDescent="0.3">
      <c r="A10" s="74">
        <v>5</v>
      </c>
      <c r="B10" t="s">
        <v>50</v>
      </c>
      <c r="C10" s="74">
        <f>KUBAR!H17</f>
        <v>3</v>
      </c>
      <c r="D10" s="74">
        <f>KUBAR!H18</f>
        <v>0</v>
      </c>
      <c r="E10" s="85">
        <f>KUBAR!P17</f>
        <v>11170</v>
      </c>
    </row>
    <row r="11" spans="1:18" x14ac:dyDescent="0.3">
      <c r="A11" s="74">
        <v>6</v>
      </c>
      <c r="B11" t="s">
        <v>51</v>
      </c>
      <c r="C11" s="74">
        <f>PASER!H19</f>
        <v>3</v>
      </c>
      <c r="D11" s="74">
        <f>PASER!H20</f>
        <v>0</v>
      </c>
      <c r="E11" s="85">
        <f>PASER!P19</f>
        <v>13110</v>
      </c>
    </row>
    <row r="12" spans="1:18" x14ac:dyDescent="0.3">
      <c r="A12" s="74">
        <v>7</v>
      </c>
      <c r="B12" t="s">
        <v>52</v>
      </c>
      <c r="C12" s="74">
        <f>PPU!H14</f>
        <v>1</v>
      </c>
      <c r="D12" s="74">
        <f>PPU!H15</f>
        <v>0</v>
      </c>
      <c r="E12" s="85">
        <f>PPU!P14</f>
        <v>880</v>
      </c>
    </row>
    <row r="13" spans="1:18" x14ac:dyDescent="0.3">
      <c r="A13" s="74">
        <v>8</v>
      </c>
      <c r="B13" t="s">
        <v>53</v>
      </c>
      <c r="C13" s="74">
        <f>BONTANG!H15</f>
        <v>2</v>
      </c>
      <c r="D13" s="74">
        <f>BONTANG!H16</f>
        <v>0</v>
      </c>
      <c r="E13" s="85">
        <f>BONTANG!P15</f>
        <v>7891.04</v>
      </c>
    </row>
    <row r="14" spans="1:18" x14ac:dyDescent="0.3">
      <c r="A14" s="74">
        <v>9</v>
      </c>
      <c r="B14" t="s">
        <v>54</v>
      </c>
      <c r="C14" s="74">
        <f>BERAU!H33</f>
        <v>6</v>
      </c>
      <c r="D14" s="74">
        <f>BERAU!H34</f>
        <v>3</v>
      </c>
      <c r="E14" s="85">
        <f>BERAU!P33</f>
        <v>25703.360000000001</v>
      </c>
    </row>
    <row r="15" spans="1:18" x14ac:dyDescent="0.3">
      <c r="A15" s="74">
        <v>10</v>
      </c>
      <c r="B15" t="s">
        <v>55</v>
      </c>
      <c r="C15" s="74">
        <f>MAHULU!H10</f>
        <v>0</v>
      </c>
      <c r="D15" s="74">
        <f>MAHULU!H11</f>
        <v>0</v>
      </c>
      <c r="E15" s="85">
        <f>MAHULU!P10</f>
        <v>0</v>
      </c>
    </row>
    <row r="16" spans="1:18" x14ac:dyDescent="0.3">
      <c r="B16" s="78" t="s">
        <v>56</v>
      </c>
      <c r="C16" s="79">
        <f>SUM(Table11[3])-1</f>
        <v>46</v>
      </c>
      <c r="D16" s="80">
        <f>SUM(Table11[4])</f>
        <v>28</v>
      </c>
      <c r="E16" s="86" t="str">
        <f>SUM(Table11[5])&amp;" kVA"</f>
        <v>144426.3 kVA</v>
      </c>
    </row>
    <row r="17" spans="2:5" x14ac:dyDescent="0.3">
      <c r="B17" s="81" t="s">
        <v>57</v>
      </c>
      <c r="C17" s="127">
        <f>SUM(C16:D16)</f>
        <v>74</v>
      </c>
      <c r="D17" s="127"/>
      <c r="E17" s="81"/>
    </row>
    <row r="18" spans="2:5" x14ac:dyDescent="0.3">
      <c r="B18" s="118" t="s">
        <v>532</v>
      </c>
      <c r="C18" s="119"/>
      <c r="D18" s="119"/>
      <c r="E18" s="120"/>
    </row>
    <row r="19" spans="2:5" x14ac:dyDescent="0.3">
      <c r="B19" s="121"/>
      <c r="C19" s="122"/>
      <c r="D19" s="122"/>
      <c r="E19" s="123"/>
    </row>
    <row r="20" spans="2:5" x14ac:dyDescent="0.3">
      <c r="B20" s="124"/>
      <c r="C20" s="125"/>
      <c r="D20" s="125"/>
      <c r="E20" s="126"/>
    </row>
  </sheetData>
  <mergeCells count="7">
    <mergeCell ref="B18:E20"/>
    <mergeCell ref="C17:D17"/>
    <mergeCell ref="A1:E1"/>
    <mergeCell ref="C3:D3"/>
    <mergeCell ref="A3:A4"/>
    <mergeCell ref="B3:B4"/>
    <mergeCell ref="E3:E4"/>
  </mergeCells>
  <pageMargins left="0.25" right="0.25" top="0.75" bottom="0.75" header="0.3" footer="0.3"/>
  <pageSetup paperSize="9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06C83-1BD2-4565-A371-260CD981EA46}">
  <sheetPr>
    <outlinePr summaryBelow="0" summaryRight="0"/>
    <pageSetUpPr fitToPage="1"/>
  </sheetPr>
  <dimension ref="A1:S31"/>
  <sheetViews>
    <sheetView topLeftCell="F19" zoomScaleNormal="100" zoomScaleSheetLayoutView="70" workbookViewId="0">
      <selection activeCell="G25" sqref="G25"/>
    </sheetView>
  </sheetViews>
  <sheetFormatPr defaultColWidth="8.88671875" defaultRowHeight="15" x14ac:dyDescent="0.3"/>
  <cols>
    <col min="1" max="2" width="8.6640625" style="1" bestFit="1" customWidth="1"/>
    <col min="3" max="3" width="38.5546875" style="2" bestFit="1" customWidth="1"/>
    <col min="4" max="4" width="8.88671875" style="5" bestFit="1" customWidth="1"/>
    <col min="5" max="5" width="8.6640625" style="1" bestFit="1" customWidth="1"/>
    <col min="6" max="6" width="45.21875" style="3" bestFit="1" customWidth="1"/>
    <col min="7" max="7" width="26" style="3" bestFit="1" customWidth="1"/>
    <col min="8" max="8" width="21.21875" style="4" bestFit="1" customWidth="1"/>
    <col min="9" max="9" width="37.5546875" style="3" bestFit="1" customWidth="1"/>
    <col min="10" max="11" width="20.5546875" style="4" bestFit="1" customWidth="1"/>
    <col min="12" max="12" width="43.109375" style="5" bestFit="1" customWidth="1"/>
    <col min="13" max="13" width="18.88671875" style="5" bestFit="1" customWidth="1"/>
    <col min="14" max="14" width="10" style="1" bestFit="1" customWidth="1"/>
    <col min="15" max="15" width="11.88671875" style="1" bestFit="1" customWidth="1"/>
    <col min="16" max="16" width="18" style="6" bestFit="1" customWidth="1"/>
    <col min="17" max="17" width="10" style="1" bestFit="1" customWidth="1"/>
    <col min="18" max="18" width="15.21875" style="1" bestFit="1" customWidth="1"/>
    <col min="19" max="19" width="26" style="2" bestFit="1" customWidth="1"/>
    <col min="20" max="16384" width="8.88671875" style="2"/>
  </cols>
  <sheetData>
    <row r="1" spans="1:19" ht="17.399999999999999" x14ac:dyDescent="0.3">
      <c r="A1" s="134" t="s">
        <v>59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</row>
    <row r="2" spans="1:19" x14ac:dyDescent="0.3">
      <c r="D2" s="2"/>
      <c r="F2" s="1"/>
      <c r="H2" s="1"/>
      <c r="I2" s="1"/>
      <c r="J2" s="1"/>
      <c r="K2" s="1"/>
      <c r="L2" s="1"/>
      <c r="M2" s="1"/>
    </row>
    <row r="3" spans="1:19" ht="15.6" x14ac:dyDescent="0.3">
      <c r="A3" s="131" t="s">
        <v>3</v>
      </c>
      <c r="B3" s="131" t="s">
        <v>4</v>
      </c>
      <c r="C3" s="131" t="s">
        <v>0</v>
      </c>
      <c r="D3" s="131"/>
      <c r="E3" s="131" t="s">
        <v>1</v>
      </c>
      <c r="F3" s="131"/>
      <c r="G3" s="131"/>
      <c r="H3" s="131"/>
      <c r="I3" s="131"/>
      <c r="J3" s="131"/>
      <c r="K3" s="131"/>
      <c r="L3" s="131" t="s">
        <v>2</v>
      </c>
      <c r="M3" s="131"/>
      <c r="N3" s="131"/>
      <c r="O3" s="131"/>
      <c r="P3" s="131"/>
      <c r="Q3" s="131"/>
      <c r="R3" s="131"/>
      <c r="S3" s="131" t="s">
        <v>19</v>
      </c>
    </row>
    <row r="4" spans="1:19" s="1" customFormat="1" ht="31.2" x14ac:dyDescent="0.3">
      <c r="A4" s="131"/>
      <c r="B4" s="131"/>
      <c r="C4" s="17" t="s">
        <v>5</v>
      </c>
      <c r="D4" s="17" t="s">
        <v>6</v>
      </c>
      <c r="E4" s="17" t="s">
        <v>7</v>
      </c>
      <c r="F4" s="17" t="s">
        <v>8</v>
      </c>
      <c r="G4" s="17" t="s">
        <v>9</v>
      </c>
      <c r="H4" s="17" t="s">
        <v>10</v>
      </c>
      <c r="I4" s="17" t="s">
        <v>11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16</v>
      </c>
      <c r="O4" s="43" t="s">
        <v>17</v>
      </c>
      <c r="P4" s="18" t="s">
        <v>69</v>
      </c>
      <c r="Q4" s="17" t="s">
        <v>7</v>
      </c>
      <c r="R4" s="17" t="s">
        <v>18</v>
      </c>
      <c r="S4" s="131"/>
    </row>
    <row r="5" spans="1:19" s="1" customFormat="1" ht="15.6" x14ac:dyDescent="0.3">
      <c r="A5" s="10" t="s">
        <v>26</v>
      </c>
      <c r="B5" s="11" t="s">
        <v>27</v>
      </c>
      <c r="C5" s="11" t="s">
        <v>28</v>
      </c>
      <c r="D5" s="11" t="s">
        <v>29</v>
      </c>
      <c r="E5" s="11" t="s">
        <v>30</v>
      </c>
      <c r="F5" s="11" t="s">
        <v>31</v>
      </c>
      <c r="G5" s="11" t="s">
        <v>32</v>
      </c>
      <c r="H5" s="11" t="s">
        <v>33</v>
      </c>
      <c r="I5" s="11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1" t="s">
        <v>39</v>
      </c>
      <c r="O5" s="11" t="s">
        <v>40</v>
      </c>
      <c r="P5" s="12" t="s">
        <v>20</v>
      </c>
      <c r="Q5" s="11" t="s">
        <v>41</v>
      </c>
      <c r="R5" s="11" t="s">
        <v>42</v>
      </c>
      <c r="S5" s="13" t="s">
        <v>43</v>
      </c>
    </row>
    <row r="6" spans="1:19" ht="45" x14ac:dyDescent="0.3">
      <c r="A6" s="7">
        <f>IF($C6&lt;&gt;"", SUBTOTAL(103,$C$6:C6), "")</f>
        <v>1</v>
      </c>
      <c r="B6" s="41">
        <v>1</v>
      </c>
      <c r="C6" s="36" t="s">
        <v>70</v>
      </c>
      <c r="D6" s="37"/>
      <c r="E6" s="20" t="s">
        <v>22</v>
      </c>
      <c r="F6" s="21" t="s">
        <v>71</v>
      </c>
      <c r="G6" s="21" t="s">
        <v>72</v>
      </c>
      <c r="H6" s="22">
        <v>44608</v>
      </c>
      <c r="I6" s="46" t="s">
        <v>73</v>
      </c>
      <c r="J6" s="47">
        <v>44627</v>
      </c>
      <c r="K6" s="15" t="s">
        <v>74</v>
      </c>
      <c r="L6" s="36" t="s">
        <v>75</v>
      </c>
      <c r="M6" s="19" t="s">
        <v>76</v>
      </c>
      <c r="N6" s="37">
        <v>1</v>
      </c>
      <c r="O6" s="37">
        <v>400</v>
      </c>
      <c r="P6" s="14">
        <f>Table13[[#This Row],[14]]*Table13[[#This Row],[15]]</f>
        <v>400</v>
      </c>
      <c r="Q6" s="37" t="s">
        <v>77</v>
      </c>
      <c r="R6" s="37" t="s">
        <v>78</v>
      </c>
      <c r="S6" s="23"/>
    </row>
    <row r="7" spans="1:19" ht="30" x14ac:dyDescent="0.3">
      <c r="A7" s="7">
        <f>IF($C7&lt;&gt;"", SUBTOTAL(103,$C$6:C7), "")</f>
        <v>2</v>
      </c>
      <c r="B7" s="41">
        <v>2</v>
      </c>
      <c r="C7" s="19" t="s">
        <v>79</v>
      </c>
      <c r="D7" s="20"/>
      <c r="E7" s="20" t="s">
        <v>22</v>
      </c>
      <c r="F7" s="21" t="s">
        <v>80</v>
      </c>
      <c r="G7" s="21" t="s">
        <v>81</v>
      </c>
      <c r="H7" s="22">
        <v>44594</v>
      </c>
      <c r="I7" s="21" t="s">
        <v>82</v>
      </c>
      <c r="J7" s="22">
        <v>44634</v>
      </c>
      <c r="K7" s="15" t="s">
        <v>74</v>
      </c>
      <c r="L7" s="19" t="s">
        <v>83</v>
      </c>
      <c r="M7" s="19" t="s">
        <v>84</v>
      </c>
      <c r="N7" s="20">
        <v>1</v>
      </c>
      <c r="O7" s="20">
        <v>112.5</v>
      </c>
      <c r="P7" s="14">
        <f>Table13[[#This Row],[14]]*Table13[[#This Row],[15]]</f>
        <v>112.5</v>
      </c>
      <c r="Q7" s="20" t="s">
        <v>77</v>
      </c>
      <c r="R7" s="20" t="s">
        <v>78</v>
      </c>
      <c r="S7" s="23"/>
    </row>
    <row r="8" spans="1:19" ht="45" x14ac:dyDescent="0.3">
      <c r="A8" s="7">
        <f>IF($C8&lt;&gt;"", SUBTOTAL(103,$C$6:C8), "")</f>
        <v>3</v>
      </c>
      <c r="B8" s="41">
        <v>3</v>
      </c>
      <c r="C8" s="19" t="s">
        <v>85</v>
      </c>
      <c r="D8" s="20"/>
      <c r="E8" s="20" t="s">
        <v>21</v>
      </c>
      <c r="F8" s="21" t="s">
        <v>86</v>
      </c>
      <c r="G8" s="21" t="s">
        <v>87</v>
      </c>
      <c r="H8" s="22">
        <v>44655</v>
      </c>
      <c r="I8" s="48" t="s">
        <v>88</v>
      </c>
      <c r="J8" s="22">
        <v>44656</v>
      </c>
      <c r="K8" s="15">
        <v>46482</v>
      </c>
      <c r="L8" s="19" t="s">
        <v>89</v>
      </c>
      <c r="M8" s="19" t="s">
        <v>90</v>
      </c>
      <c r="N8" s="20">
        <v>4</v>
      </c>
      <c r="O8" s="20">
        <v>1250</v>
      </c>
      <c r="P8" s="14">
        <f>Table13[[#This Row],[14]]*Table13[[#This Row],[15]]</f>
        <v>5000</v>
      </c>
      <c r="Q8" s="20" t="s">
        <v>77</v>
      </c>
      <c r="R8" s="20" t="s">
        <v>78</v>
      </c>
      <c r="S8" s="23"/>
    </row>
    <row r="9" spans="1:19" ht="45" x14ac:dyDescent="0.3">
      <c r="A9" s="7">
        <f>IF($C9&lt;&gt;"", SUBTOTAL(103,$C$6:C9), "")</f>
        <v>4</v>
      </c>
      <c r="B9" s="41">
        <v>4</v>
      </c>
      <c r="C9" s="25" t="s">
        <v>91</v>
      </c>
      <c r="D9" s="26"/>
      <c r="E9" s="26" t="s">
        <v>21</v>
      </c>
      <c r="F9" s="27" t="s">
        <v>92</v>
      </c>
      <c r="G9" s="27" t="s">
        <v>93</v>
      </c>
      <c r="H9" s="28">
        <v>44725</v>
      </c>
      <c r="I9" s="45" t="s">
        <v>94</v>
      </c>
      <c r="J9" s="28">
        <v>44753</v>
      </c>
      <c r="K9" s="15">
        <v>46579</v>
      </c>
      <c r="L9" s="25" t="s">
        <v>95</v>
      </c>
      <c r="M9" s="25" t="s">
        <v>96</v>
      </c>
      <c r="N9" s="26">
        <v>1</v>
      </c>
      <c r="O9" s="26">
        <v>725</v>
      </c>
      <c r="P9" s="14">
        <f>Table13[[#This Row],[14]]*Table13[[#This Row],[15]]</f>
        <v>725</v>
      </c>
      <c r="Q9" s="26" t="s">
        <v>77</v>
      </c>
      <c r="R9" s="26" t="s">
        <v>78</v>
      </c>
      <c r="S9" s="29"/>
    </row>
    <row r="10" spans="1:19" ht="45" x14ac:dyDescent="0.3">
      <c r="A10" s="7">
        <f>IF($C10&lt;&gt;"", SUBTOTAL(103,$C$6:C10), "")</f>
        <v>5</v>
      </c>
      <c r="B10" s="41">
        <v>5</v>
      </c>
      <c r="C10" s="25" t="s">
        <v>97</v>
      </c>
      <c r="D10" s="26"/>
      <c r="E10" s="26" t="s">
        <v>21</v>
      </c>
      <c r="F10" s="27" t="s">
        <v>98</v>
      </c>
      <c r="G10" s="27" t="s">
        <v>99</v>
      </c>
      <c r="H10" s="28">
        <v>44733</v>
      </c>
      <c r="I10" s="45" t="s">
        <v>100</v>
      </c>
      <c r="J10" s="28">
        <v>44760</v>
      </c>
      <c r="K10" s="15">
        <v>46586</v>
      </c>
      <c r="L10" s="25" t="s">
        <v>101</v>
      </c>
      <c r="M10" s="25" t="s">
        <v>102</v>
      </c>
      <c r="N10" s="26">
        <v>3</v>
      </c>
      <c r="O10" s="26">
        <v>288</v>
      </c>
      <c r="P10" s="14">
        <f>Table13[[#This Row],[14]]*Table13[[#This Row],[15]]</f>
        <v>864</v>
      </c>
      <c r="Q10" s="26" t="s">
        <v>77</v>
      </c>
      <c r="R10" s="26" t="s">
        <v>103</v>
      </c>
      <c r="S10" s="29"/>
    </row>
    <row r="11" spans="1:19" x14ac:dyDescent="0.3">
      <c r="A11" s="7" t="str">
        <f>IF($C11&lt;&gt;"", SUBTOTAL(103,$C$6:C11), "")</f>
        <v/>
      </c>
      <c r="B11" s="41">
        <f>B10</f>
        <v>5</v>
      </c>
      <c r="C11" s="36"/>
      <c r="D11" s="37"/>
      <c r="E11" s="37"/>
      <c r="F11" s="46"/>
      <c r="G11" s="46"/>
      <c r="H11" s="47"/>
      <c r="I11" s="46"/>
      <c r="J11" s="47"/>
      <c r="K11" s="15" t="s">
        <v>74</v>
      </c>
      <c r="L11" s="36"/>
      <c r="M11" s="36"/>
      <c r="N11" s="37">
        <v>2</v>
      </c>
      <c r="O11" s="37">
        <v>500</v>
      </c>
      <c r="P11" s="14">
        <f>Table13[[#This Row],[14]]*Table13[[#This Row],[15]]</f>
        <v>1000</v>
      </c>
      <c r="Q11" s="37" t="s">
        <v>77</v>
      </c>
      <c r="R11" s="37"/>
      <c r="S11" s="33"/>
    </row>
    <row r="12" spans="1:19" x14ac:dyDescent="0.3">
      <c r="A12" s="7" t="str">
        <f>IF($C12&lt;&gt;"", SUBTOTAL(103,$C$6:C12), "")</f>
        <v/>
      </c>
      <c r="B12" s="41">
        <f t="shared" ref="B12:B24" si="0">B11</f>
        <v>5</v>
      </c>
      <c r="C12" s="31"/>
      <c r="D12" s="38"/>
      <c r="E12" s="38"/>
      <c r="F12" s="32"/>
      <c r="G12" s="32"/>
      <c r="H12" s="39"/>
      <c r="I12" s="32"/>
      <c r="J12" s="39"/>
      <c r="K12" s="15" t="s">
        <v>74</v>
      </c>
      <c r="L12" s="31"/>
      <c r="M12" s="31"/>
      <c r="N12" s="38">
        <v>1</v>
      </c>
      <c r="O12" s="38">
        <v>590</v>
      </c>
      <c r="P12" s="14">
        <f>Table13[[#This Row],[14]]*Table13[[#This Row],[15]]</f>
        <v>590</v>
      </c>
      <c r="Q12" s="38" t="s">
        <v>77</v>
      </c>
      <c r="R12" s="38"/>
      <c r="S12" s="9"/>
    </row>
    <row r="13" spans="1:19" ht="60" x14ac:dyDescent="0.3">
      <c r="A13" s="7">
        <f>IF($C13&lt;&gt;"", SUBTOTAL(103,$C$6:C13), "")</f>
        <v>6</v>
      </c>
      <c r="B13" s="41">
        <v>6</v>
      </c>
      <c r="C13" s="25" t="s">
        <v>104</v>
      </c>
      <c r="D13" s="26"/>
      <c r="E13" s="26" t="s">
        <v>22</v>
      </c>
      <c r="F13" s="27" t="s">
        <v>105</v>
      </c>
      <c r="G13" s="27" t="s">
        <v>106</v>
      </c>
      <c r="H13" s="28">
        <v>44733</v>
      </c>
      <c r="I13" s="27" t="s">
        <v>107</v>
      </c>
      <c r="J13" s="28">
        <v>44740</v>
      </c>
      <c r="K13" s="15" t="s">
        <v>74</v>
      </c>
      <c r="L13" s="25" t="s">
        <v>108</v>
      </c>
      <c r="M13" s="25" t="s">
        <v>109</v>
      </c>
      <c r="N13" s="26">
        <v>1</v>
      </c>
      <c r="O13" s="26">
        <v>100</v>
      </c>
      <c r="P13" s="14">
        <f>Table13[[#This Row],[14]]*Table13[[#This Row],[15]]</f>
        <v>100</v>
      </c>
      <c r="Q13" s="26" t="s">
        <v>77</v>
      </c>
      <c r="R13" s="26" t="s">
        <v>78</v>
      </c>
      <c r="S13" s="23"/>
    </row>
    <row r="14" spans="1:19" ht="45" x14ac:dyDescent="0.3">
      <c r="A14" s="7">
        <f>IF($C14&lt;&gt;"", SUBTOTAL(103,$C$6:C14), "")</f>
        <v>7</v>
      </c>
      <c r="B14" s="41">
        <v>7</v>
      </c>
      <c r="C14" s="19" t="s">
        <v>110</v>
      </c>
      <c r="D14" s="20"/>
      <c r="E14" s="20" t="s">
        <v>22</v>
      </c>
      <c r="F14" s="21" t="s">
        <v>111</v>
      </c>
      <c r="G14" s="21" t="s">
        <v>112</v>
      </c>
      <c r="H14" s="22">
        <v>44826</v>
      </c>
      <c r="I14" s="21" t="s">
        <v>113</v>
      </c>
      <c r="J14" s="22">
        <v>44838</v>
      </c>
      <c r="K14" s="15" t="s">
        <v>74</v>
      </c>
      <c r="L14" s="19" t="s">
        <v>114</v>
      </c>
      <c r="M14" s="19" t="s">
        <v>115</v>
      </c>
      <c r="N14" s="20">
        <v>1</v>
      </c>
      <c r="O14" s="20">
        <v>300</v>
      </c>
      <c r="P14" s="14">
        <f>Table13[[#This Row],[14]]*Table13[[#This Row],[15]]</f>
        <v>300</v>
      </c>
      <c r="Q14" s="21" t="s">
        <v>77</v>
      </c>
      <c r="R14" s="20" t="s">
        <v>78</v>
      </c>
      <c r="S14" s="23"/>
    </row>
    <row r="15" spans="1:19" ht="30" x14ac:dyDescent="0.3">
      <c r="A15" s="7">
        <f>IF($C15&lt;&gt;"", SUBTOTAL(103,$C$6:C15), "")</f>
        <v>8</v>
      </c>
      <c r="B15" s="41">
        <v>8</v>
      </c>
      <c r="C15" s="25" t="s">
        <v>116</v>
      </c>
      <c r="D15" s="26"/>
      <c r="E15" s="27" t="s">
        <v>22</v>
      </c>
      <c r="F15" s="27" t="s">
        <v>117</v>
      </c>
      <c r="G15" s="27" t="s">
        <v>118</v>
      </c>
      <c r="H15" s="28">
        <v>44834</v>
      </c>
      <c r="I15" s="27" t="s">
        <v>119</v>
      </c>
      <c r="J15" s="28">
        <v>44846</v>
      </c>
      <c r="K15" s="15" t="s">
        <v>74</v>
      </c>
      <c r="L15" s="25" t="s">
        <v>120</v>
      </c>
      <c r="M15" s="25" t="s">
        <v>126</v>
      </c>
      <c r="N15" s="26">
        <v>1</v>
      </c>
      <c r="O15" s="26">
        <v>11</v>
      </c>
      <c r="P15" s="14">
        <f>Table13[[#This Row],[14]]*Table13[[#This Row],[15]]</f>
        <v>11</v>
      </c>
      <c r="Q15" s="27" t="s">
        <v>77</v>
      </c>
      <c r="R15" s="26" t="s">
        <v>78</v>
      </c>
      <c r="S15" s="70"/>
    </row>
    <row r="16" spans="1:19" ht="30" x14ac:dyDescent="0.3">
      <c r="A16" s="7" t="str">
        <f>IF($C16&lt;&gt;"", SUBTOTAL(103,$C$6:C16), "")</f>
        <v/>
      </c>
      <c r="B16" s="41">
        <f t="shared" si="0"/>
        <v>8</v>
      </c>
      <c r="C16" s="36"/>
      <c r="D16" s="37"/>
      <c r="E16" s="37"/>
      <c r="F16" s="46" t="s">
        <v>121</v>
      </c>
      <c r="G16" s="46"/>
      <c r="H16" s="47"/>
      <c r="I16" s="46"/>
      <c r="J16" s="47"/>
      <c r="K16" s="15" t="s">
        <v>74</v>
      </c>
      <c r="L16" s="36" t="s">
        <v>122</v>
      </c>
      <c r="M16" s="36" t="s">
        <v>127</v>
      </c>
      <c r="N16" s="37">
        <v>1</v>
      </c>
      <c r="O16" s="37">
        <v>11</v>
      </c>
      <c r="P16" s="14">
        <f>Table13[[#This Row],[14]]*Table13[[#This Row],[15]]</f>
        <v>11</v>
      </c>
      <c r="Q16" s="46" t="s">
        <v>77</v>
      </c>
      <c r="R16" s="37" t="s">
        <v>78</v>
      </c>
      <c r="S16" s="70"/>
    </row>
    <row r="17" spans="1:19" ht="30" x14ac:dyDescent="0.3">
      <c r="A17" s="7" t="str">
        <f>IF($C17&lt;&gt;"", SUBTOTAL(103,$C$6:C17), "")</f>
        <v/>
      </c>
      <c r="B17" s="41">
        <f t="shared" si="0"/>
        <v>8</v>
      </c>
      <c r="C17" s="36"/>
      <c r="D17" s="37"/>
      <c r="E17" s="37"/>
      <c r="F17" s="46" t="s">
        <v>123</v>
      </c>
      <c r="G17" s="46"/>
      <c r="H17" s="47"/>
      <c r="I17" s="46"/>
      <c r="J17" s="47"/>
      <c r="K17" s="15" t="s">
        <v>74</v>
      </c>
      <c r="L17" s="36" t="s">
        <v>122</v>
      </c>
      <c r="M17" s="36" t="s">
        <v>128</v>
      </c>
      <c r="N17" s="37">
        <v>1</v>
      </c>
      <c r="O17" s="37">
        <v>10</v>
      </c>
      <c r="P17" s="14">
        <f>Table13[[#This Row],[14]]*Table13[[#This Row],[15]]</f>
        <v>10</v>
      </c>
      <c r="Q17" s="46" t="s">
        <v>77</v>
      </c>
      <c r="R17" s="37" t="s">
        <v>78</v>
      </c>
      <c r="S17" s="70"/>
    </row>
    <row r="18" spans="1:19" ht="30" x14ac:dyDescent="0.3">
      <c r="A18" s="7" t="str">
        <f>IF($C18&lt;&gt;"", SUBTOTAL(103,$C$6:C18), "")</f>
        <v/>
      </c>
      <c r="B18" s="41">
        <f t="shared" si="0"/>
        <v>8</v>
      </c>
      <c r="C18" s="31"/>
      <c r="D18" s="38"/>
      <c r="E18" s="38"/>
      <c r="F18" s="32" t="s">
        <v>124</v>
      </c>
      <c r="G18" s="32"/>
      <c r="H18" s="39"/>
      <c r="I18" s="32"/>
      <c r="J18" s="39"/>
      <c r="K18" s="15" t="s">
        <v>74</v>
      </c>
      <c r="L18" s="31" t="s">
        <v>125</v>
      </c>
      <c r="M18" s="31" t="s">
        <v>129</v>
      </c>
      <c r="N18" s="38">
        <v>1</v>
      </c>
      <c r="O18" s="38">
        <v>11</v>
      </c>
      <c r="P18" s="14">
        <f>Table13[[#This Row],[14]]*Table13[[#This Row],[15]]</f>
        <v>11</v>
      </c>
      <c r="Q18" s="32" t="s">
        <v>77</v>
      </c>
      <c r="R18" s="38" t="s">
        <v>78</v>
      </c>
      <c r="S18" s="9"/>
    </row>
    <row r="19" spans="1:19" ht="30" x14ac:dyDescent="0.3">
      <c r="A19" s="7">
        <f>IF($C19&lt;&gt;"", SUBTOTAL(103,$C$6:C19), "")</f>
        <v>9</v>
      </c>
      <c r="B19" s="41">
        <v>9</v>
      </c>
      <c r="C19" s="25" t="s">
        <v>130</v>
      </c>
      <c r="D19" s="59"/>
      <c r="E19" s="27" t="s">
        <v>22</v>
      </c>
      <c r="F19" s="26" t="s">
        <v>131</v>
      </c>
      <c r="G19" s="27" t="s">
        <v>132</v>
      </c>
      <c r="H19" s="28">
        <v>44862</v>
      </c>
      <c r="I19" s="27" t="s">
        <v>133</v>
      </c>
      <c r="J19" s="30">
        <v>44887</v>
      </c>
      <c r="K19" s="15" t="s">
        <v>74</v>
      </c>
      <c r="L19" s="88" t="s">
        <v>134</v>
      </c>
      <c r="M19" s="25" t="s">
        <v>135</v>
      </c>
      <c r="N19" s="27">
        <v>2</v>
      </c>
      <c r="O19" s="27">
        <v>200</v>
      </c>
      <c r="P19" s="14">
        <f>Table13[[#This Row],[14]]*Table13[[#This Row],[15]]</f>
        <v>400</v>
      </c>
      <c r="Q19" s="27" t="s">
        <v>77</v>
      </c>
      <c r="R19" s="26" t="s">
        <v>136</v>
      </c>
      <c r="S19" s="23"/>
    </row>
    <row r="20" spans="1:19" ht="30" x14ac:dyDescent="0.3">
      <c r="A20" s="7" t="str">
        <f>IF($C20&lt;&gt;"", SUBTOTAL(103,$C$6:C20), "")</f>
        <v/>
      </c>
      <c r="B20" s="41">
        <f t="shared" si="0"/>
        <v>9</v>
      </c>
      <c r="C20" s="31"/>
      <c r="D20" s="60"/>
      <c r="E20" s="38"/>
      <c r="F20" s="32"/>
      <c r="G20" s="32"/>
      <c r="H20" s="39"/>
      <c r="I20" s="32"/>
      <c r="J20" s="51"/>
      <c r="K20" s="15" t="s">
        <v>74</v>
      </c>
      <c r="L20" s="53"/>
      <c r="M20" s="31" t="s">
        <v>137</v>
      </c>
      <c r="N20" s="32">
        <v>1</v>
      </c>
      <c r="O20" s="32">
        <v>15</v>
      </c>
      <c r="P20" s="14">
        <f>Table13[[#This Row],[14]]*Table13[[#This Row],[15]]</f>
        <v>15</v>
      </c>
      <c r="Q20" s="32" t="s">
        <v>77</v>
      </c>
      <c r="R20" s="38" t="s">
        <v>136</v>
      </c>
      <c r="S20" s="70"/>
    </row>
    <row r="21" spans="1:19" ht="45" x14ac:dyDescent="0.3">
      <c r="A21" s="7">
        <f>IF($C21&lt;&gt;"", SUBTOTAL(103,$C$6:C21), "")</f>
        <v>10</v>
      </c>
      <c r="B21" s="41">
        <v>10</v>
      </c>
      <c r="C21" s="25" t="s">
        <v>138</v>
      </c>
      <c r="D21" s="26"/>
      <c r="E21" s="26" t="s">
        <v>21</v>
      </c>
      <c r="F21" s="27" t="s">
        <v>140</v>
      </c>
      <c r="G21" s="27" t="s">
        <v>141</v>
      </c>
      <c r="H21" s="28">
        <v>44875</v>
      </c>
      <c r="I21" s="45" t="s">
        <v>142</v>
      </c>
      <c r="J21" s="28">
        <v>44879</v>
      </c>
      <c r="K21" s="15">
        <v>46705</v>
      </c>
      <c r="L21" s="25" t="s">
        <v>143</v>
      </c>
      <c r="M21" s="25" t="s">
        <v>148</v>
      </c>
      <c r="N21" s="26">
        <v>1</v>
      </c>
      <c r="O21" s="26">
        <v>1675</v>
      </c>
      <c r="P21" s="14">
        <f>Table13[[#This Row],[14]]*Table13[[#This Row],[15]]</f>
        <v>1675</v>
      </c>
      <c r="Q21" s="27" t="s">
        <v>77</v>
      </c>
      <c r="R21" s="26" t="s">
        <v>78</v>
      </c>
      <c r="S21" s="70"/>
    </row>
    <row r="22" spans="1:19" x14ac:dyDescent="0.3">
      <c r="A22" s="7" t="str">
        <f>IF($C22&lt;&gt;"", SUBTOTAL(103,$C$6:C22), "")</f>
        <v/>
      </c>
      <c r="B22" s="41">
        <f t="shared" si="0"/>
        <v>10</v>
      </c>
      <c r="C22" s="31"/>
      <c r="D22" s="38"/>
      <c r="E22" s="38"/>
      <c r="F22" s="32"/>
      <c r="G22" s="32"/>
      <c r="H22" s="39"/>
      <c r="I22" s="32"/>
      <c r="J22" s="39"/>
      <c r="K22" s="15" t="s">
        <v>74</v>
      </c>
      <c r="L22" s="31"/>
      <c r="M22" s="31"/>
      <c r="N22" s="38">
        <v>1</v>
      </c>
      <c r="O22" s="38">
        <v>1500</v>
      </c>
      <c r="P22" s="14">
        <f>Table13[[#This Row],[14]]*Table13[[#This Row],[15]]</f>
        <v>1500</v>
      </c>
      <c r="Q22" s="32" t="s">
        <v>77</v>
      </c>
      <c r="R22" s="38" t="s">
        <v>78</v>
      </c>
      <c r="S22" s="9"/>
    </row>
    <row r="23" spans="1:19" ht="45" x14ac:dyDescent="0.3">
      <c r="A23" s="7">
        <f>IF($C23&lt;&gt;"", SUBTOTAL(103,$C$6:C23), "")</f>
        <v>11</v>
      </c>
      <c r="B23" s="41">
        <v>11</v>
      </c>
      <c r="C23" s="36" t="s">
        <v>139</v>
      </c>
      <c r="D23" s="37"/>
      <c r="E23" s="37" t="s">
        <v>21</v>
      </c>
      <c r="F23" s="46" t="s">
        <v>144</v>
      </c>
      <c r="G23" s="46" t="s">
        <v>145</v>
      </c>
      <c r="H23" s="47">
        <v>44889</v>
      </c>
      <c r="I23" s="89" t="s">
        <v>146</v>
      </c>
      <c r="J23" s="47">
        <v>44895</v>
      </c>
      <c r="K23" s="15">
        <v>46721</v>
      </c>
      <c r="L23" s="36" t="s">
        <v>147</v>
      </c>
      <c r="M23" s="36" t="s">
        <v>149</v>
      </c>
      <c r="N23" s="37">
        <v>1</v>
      </c>
      <c r="O23" s="37">
        <v>500</v>
      </c>
      <c r="P23" s="14">
        <f>Table13[[#This Row],[14]]*Table13[[#This Row],[15]]</f>
        <v>500</v>
      </c>
      <c r="Q23" s="46" t="s">
        <v>77</v>
      </c>
      <c r="R23" s="37" t="s">
        <v>78</v>
      </c>
      <c r="S23" s="9"/>
    </row>
    <row r="24" spans="1:19" x14ac:dyDescent="0.3">
      <c r="A24" s="7" t="str">
        <f>IF($C24&lt;&gt;"", SUBTOTAL(103,$C$6:C24), "")</f>
        <v/>
      </c>
      <c r="B24" s="41">
        <f t="shared" si="0"/>
        <v>11</v>
      </c>
      <c r="C24" s="31"/>
      <c r="D24" s="38"/>
      <c r="E24" s="38"/>
      <c r="F24" s="51"/>
      <c r="G24" s="32"/>
      <c r="H24" s="39"/>
      <c r="I24" s="32"/>
      <c r="J24" s="39"/>
      <c r="K24" s="15" t="s">
        <v>74</v>
      </c>
      <c r="L24" s="31"/>
      <c r="M24" s="31"/>
      <c r="N24" s="38">
        <v>1</v>
      </c>
      <c r="O24" s="38">
        <v>550</v>
      </c>
      <c r="P24" s="14">
        <f>Table13[[#This Row],[14]]*Table13[[#This Row],[15]]</f>
        <v>550</v>
      </c>
      <c r="Q24" s="32" t="s">
        <v>77</v>
      </c>
      <c r="R24" s="38" t="s">
        <v>78</v>
      </c>
      <c r="S24" s="9"/>
    </row>
    <row r="25" spans="1:19" ht="30" x14ac:dyDescent="0.3">
      <c r="A25" s="7">
        <f>IF($C25&lt;&gt;"", SUBTOTAL(103,$C$6:C25), "")</f>
        <v>12</v>
      </c>
      <c r="B25" s="41">
        <v>12</v>
      </c>
      <c r="C25" s="19" t="s">
        <v>157</v>
      </c>
      <c r="D25" s="20"/>
      <c r="E25" s="20" t="s">
        <v>21</v>
      </c>
      <c r="F25" s="21" t="s">
        <v>158</v>
      </c>
      <c r="G25" s="21" t="s">
        <v>159</v>
      </c>
      <c r="H25" s="22">
        <v>44900</v>
      </c>
      <c r="I25" s="48" t="s">
        <v>160</v>
      </c>
      <c r="J25" s="22">
        <v>44909</v>
      </c>
      <c r="K25" s="15">
        <v>46735</v>
      </c>
      <c r="L25" s="19" t="s">
        <v>161</v>
      </c>
      <c r="M25" s="19" t="s">
        <v>162</v>
      </c>
      <c r="N25" s="21">
        <v>2</v>
      </c>
      <c r="O25" s="21">
        <v>400</v>
      </c>
      <c r="P25" s="14">
        <f>Table13[[#This Row],[14]]*Table13[[#This Row],[15]]</f>
        <v>800</v>
      </c>
      <c r="Q25" s="21" t="s">
        <v>77</v>
      </c>
      <c r="R25" s="20" t="s">
        <v>78</v>
      </c>
      <c r="S25" s="9"/>
    </row>
    <row r="26" spans="1:19" ht="60" x14ac:dyDescent="0.3">
      <c r="A26" s="7">
        <f>IF($C26&lt;&gt;"", SUBTOTAL(103,$C$6:C26), "")</f>
        <v>13</v>
      </c>
      <c r="B26" s="41">
        <v>13</v>
      </c>
      <c r="C26" s="25" t="s">
        <v>150</v>
      </c>
      <c r="D26" s="26"/>
      <c r="E26" s="26" t="s">
        <v>22</v>
      </c>
      <c r="F26" s="30" t="s">
        <v>151</v>
      </c>
      <c r="G26" s="27" t="s">
        <v>152</v>
      </c>
      <c r="H26" s="28">
        <v>44915</v>
      </c>
      <c r="I26" s="27" t="s">
        <v>153</v>
      </c>
      <c r="J26" s="28">
        <v>44924</v>
      </c>
      <c r="K26" s="15" t="s">
        <v>74</v>
      </c>
      <c r="L26" s="25" t="s">
        <v>154</v>
      </c>
      <c r="M26" s="25" t="s">
        <v>155</v>
      </c>
      <c r="N26" s="26">
        <v>1</v>
      </c>
      <c r="O26" s="26">
        <v>200</v>
      </c>
      <c r="P26" s="14">
        <f>Table13[[#This Row],[14]]*Table13[[#This Row],[15]]</f>
        <v>200</v>
      </c>
      <c r="Q26" s="26" t="s">
        <v>77</v>
      </c>
      <c r="R26" s="26" t="s">
        <v>78</v>
      </c>
      <c r="S26" s="9" t="s">
        <v>156</v>
      </c>
    </row>
    <row r="28" spans="1:19" ht="15" customHeight="1" x14ac:dyDescent="0.3"/>
    <row r="29" spans="1:19" ht="15" customHeight="1" x14ac:dyDescent="0.3">
      <c r="G29" s="87" t="s">
        <v>23</v>
      </c>
      <c r="H29" s="83">
        <f>COUNTIF($E$6:$E$26,"IUPTLS")</f>
        <v>6</v>
      </c>
      <c r="N29" s="132" t="s">
        <v>69</v>
      </c>
      <c r="O29" s="132"/>
      <c r="P29" s="133">
        <f>SUM($P$6:$P26)</f>
        <v>14774.5</v>
      </c>
    </row>
    <row r="30" spans="1:19" ht="15" customHeight="1" x14ac:dyDescent="0.3">
      <c r="G30" s="87" t="s">
        <v>24</v>
      </c>
      <c r="H30" s="84">
        <f>COUNTIF($E$6:$E$26,"SKTP")</f>
        <v>7</v>
      </c>
      <c r="N30" s="132"/>
      <c r="O30" s="132"/>
      <c r="P30" s="133"/>
    </row>
    <row r="31" spans="1:19" x14ac:dyDescent="0.3">
      <c r="G31" s="87" t="s">
        <v>25</v>
      </c>
      <c r="H31" s="82">
        <f>SUM(H29:H30)</f>
        <v>13</v>
      </c>
    </row>
  </sheetData>
  <mergeCells count="9">
    <mergeCell ref="S3:S4"/>
    <mergeCell ref="N29:O30"/>
    <mergeCell ref="P29:P30"/>
    <mergeCell ref="A1:R1"/>
    <mergeCell ref="A3:A4"/>
    <mergeCell ref="B3:B4"/>
    <mergeCell ref="C3:D3"/>
    <mergeCell ref="E3:K3"/>
    <mergeCell ref="L3:R3"/>
  </mergeCells>
  <conditionalFormatting sqref="C6:C26">
    <cfRule type="expression" dxfId="42" priority="11">
      <formula>AND($I6="",$C6&lt;&gt;"")</formula>
    </cfRule>
  </conditionalFormatting>
  <conditionalFormatting sqref="B6:B26">
    <cfRule type="expression" dxfId="41" priority="21">
      <formula>ISBLANK($B6:$B26)</formula>
    </cfRule>
  </conditionalFormatting>
  <conditionalFormatting sqref="I6:I26">
    <cfRule type="expression" dxfId="40" priority="1">
      <formula>TODAY()&gt;=$K6</formula>
    </cfRule>
    <cfRule type="expression" dxfId="39" priority="2">
      <formula>AND($K6&gt;=TODAY(),$K6&lt;=TODAY()+30)</formula>
    </cfRule>
  </conditionalFormatting>
  <pageMargins left="0.25" right="0.25" top="0.75" bottom="0.75" header="0.3" footer="0.3"/>
  <pageSetup paperSize="9" scale="38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24F6D-E5F9-4E5A-94D4-91E4C77B9863}">
  <sheetPr>
    <outlinePr summaryBelow="0" summaryRight="0"/>
    <pageSetUpPr fitToPage="1"/>
  </sheetPr>
  <dimension ref="A1:S33"/>
  <sheetViews>
    <sheetView topLeftCell="E1" zoomScaleNormal="100" zoomScaleSheetLayoutView="85" workbookViewId="0">
      <selection activeCell="G6" sqref="G6"/>
    </sheetView>
  </sheetViews>
  <sheetFormatPr defaultColWidth="8.88671875" defaultRowHeight="15" x14ac:dyDescent="0.3"/>
  <cols>
    <col min="1" max="1" width="9.44140625" style="1" bestFit="1" customWidth="1"/>
    <col min="2" max="2" width="9.44140625" style="1" customWidth="1"/>
    <col min="3" max="3" width="29.88671875" style="2" customWidth="1"/>
    <col min="4" max="4" width="22.6640625" style="5" customWidth="1"/>
    <col min="5" max="5" width="9.33203125" style="1" bestFit="1" customWidth="1"/>
    <col min="6" max="6" width="31.5546875" style="3" bestFit="1" customWidth="1"/>
    <col min="7" max="7" width="32.5546875" style="3" bestFit="1" customWidth="1"/>
    <col min="8" max="8" width="21.6640625" style="4" bestFit="1" customWidth="1"/>
    <col min="9" max="9" width="48.44140625" style="3" customWidth="1"/>
    <col min="10" max="10" width="21.6640625" style="4" customWidth="1"/>
    <col min="11" max="11" width="18.88671875" style="4" customWidth="1"/>
    <col min="12" max="12" width="26.88671875" style="5" customWidth="1"/>
    <col min="13" max="13" width="18.109375" style="5" bestFit="1" customWidth="1"/>
    <col min="14" max="14" width="9.44140625" style="1" bestFit="1" customWidth="1"/>
    <col min="15" max="15" width="12.5546875" style="1" bestFit="1" customWidth="1"/>
    <col min="16" max="16" width="16.33203125" style="6" customWidth="1"/>
    <col min="17" max="17" width="9.33203125" style="1" bestFit="1" customWidth="1"/>
    <col min="18" max="18" width="17.33203125" style="1" customWidth="1"/>
    <col min="19" max="19" width="16.33203125" style="2" bestFit="1" customWidth="1"/>
    <col min="20" max="16384" width="8.88671875" style="2"/>
  </cols>
  <sheetData>
    <row r="1" spans="1:19" ht="17.399999999999999" x14ac:dyDescent="0.3">
      <c r="A1" s="134" t="s">
        <v>60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</row>
    <row r="2" spans="1:19" x14ac:dyDescent="0.3">
      <c r="D2" s="2"/>
      <c r="F2" s="1"/>
      <c r="H2" s="1"/>
      <c r="I2" s="1"/>
      <c r="J2" s="1"/>
      <c r="K2" s="1"/>
      <c r="L2" s="1"/>
      <c r="M2" s="1"/>
    </row>
    <row r="3" spans="1:19" ht="15.6" x14ac:dyDescent="0.3">
      <c r="A3" s="131" t="s">
        <v>3</v>
      </c>
      <c r="B3" s="131" t="s">
        <v>4</v>
      </c>
      <c r="C3" s="131" t="s">
        <v>0</v>
      </c>
      <c r="D3" s="131"/>
      <c r="E3" s="131" t="s">
        <v>1</v>
      </c>
      <c r="F3" s="131"/>
      <c r="G3" s="131"/>
      <c r="H3" s="131"/>
      <c r="I3" s="131"/>
      <c r="J3" s="131"/>
      <c r="K3" s="131"/>
      <c r="L3" s="131" t="s">
        <v>2</v>
      </c>
      <c r="M3" s="131"/>
      <c r="N3" s="131"/>
      <c r="O3" s="131"/>
      <c r="P3" s="131"/>
      <c r="Q3" s="131"/>
      <c r="R3" s="131"/>
      <c r="S3" s="131" t="s">
        <v>19</v>
      </c>
    </row>
    <row r="4" spans="1:19" s="1" customFormat="1" ht="46.8" x14ac:dyDescent="0.3">
      <c r="A4" s="131"/>
      <c r="B4" s="131"/>
      <c r="C4" s="17" t="s">
        <v>5</v>
      </c>
      <c r="D4" s="17" t="s">
        <v>6</v>
      </c>
      <c r="E4" s="17" t="s">
        <v>7</v>
      </c>
      <c r="F4" s="17" t="s">
        <v>8</v>
      </c>
      <c r="G4" s="17" t="s">
        <v>9</v>
      </c>
      <c r="H4" s="17" t="s">
        <v>10</v>
      </c>
      <c r="I4" s="17" t="s">
        <v>11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16</v>
      </c>
      <c r="O4" s="43" t="s">
        <v>17</v>
      </c>
      <c r="P4" s="18" t="s">
        <v>69</v>
      </c>
      <c r="Q4" s="17" t="s">
        <v>7</v>
      </c>
      <c r="R4" s="17" t="s">
        <v>18</v>
      </c>
      <c r="S4" s="131"/>
    </row>
    <row r="5" spans="1:19" s="1" customFormat="1" x14ac:dyDescent="0.3">
      <c r="A5" s="10" t="s">
        <v>26</v>
      </c>
      <c r="B5" s="11" t="s">
        <v>27</v>
      </c>
      <c r="C5" s="11" t="s">
        <v>28</v>
      </c>
      <c r="D5" s="11" t="s">
        <v>29</v>
      </c>
      <c r="E5" s="11" t="s">
        <v>30</v>
      </c>
      <c r="F5" s="11" t="s">
        <v>31</v>
      </c>
      <c r="G5" s="11" t="s">
        <v>32</v>
      </c>
      <c r="H5" s="11" t="s">
        <v>33</v>
      </c>
      <c r="I5" s="11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1" t="s">
        <v>39</v>
      </c>
      <c r="O5" s="11" t="s">
        <v>40</v>
      </c>
      <c r="P5" s="12" t="s">
        <v>20</v>
      </c>
      <c r="Q5" s="11" t="s">
        <v>41</v>
      </c>
      <c r="R5" s="11" t="s">
        <v>42</v>
      </c>
      <c r="S5" s="13" t="s">
        <v>43</v>
      </c>
    </row>
    <row r="6" spans="1:19" ht="75" x14ac:dyDescent="0.3">
      <c r="A6" s="7">
        <f>IF($C6&lt;&gt;"", SUBTOTAL(103,$C$6:C6), "")</f>
        <v>1</v>
      </c>
      <c r="B6" s="41">
        <v>1</v>
      </c>
      <c r="C6" s="19" t="s">
        <v>163</v>
      </c>
      <c r="D6" s="20"/>
      <c r="E6" s="20" t="s">
        <v>21</v>
      </c>
      <c r="F6" s="34" t="s">
        <v>166</v>
      </c>
      <c r="G6" s="21" t="s">
        <v>167</v>
      </c>
      <c r="H6" s="22">
        <v>44622</v>
      </c>
      <c r="I6" s="24" t="s">
        <v>168</v>
      </c>
      <c r="J6" s="22">
        <v>44629</v>
      </c>
      <c r="K6" s="22">
        <v>46455</v>
      </c>
      <c r="L6" s="19" t="s">
        <v>169</v>
      </c>
      <c r="M6" s="19" t="s">
        <v>178</v>
      </c>
      <c r="N6" s="20">
        <v>1</v>
      </c>
      <c r="O6" s="20">
        <v>810</v>
      </c>
      <c r="P6" s="20">
        <v>810</v>
      </c>
      <c r="Q6" s="20" t="s">
        <v>77</v>
      </c>
      <c r="R6" s="20" t="s">
        <v>78</v>
      </c>
      <c r="S6" s="9"/>
    </row>
    <row r="7" spans="1:19" ht="60" x14ac:dyDescent="0.3">
      <c r="A7" s="7">
        <f>IF($C7&lt;&gt;"", SUBTOTAL(103,$C$6:C7), "")</f>
        <v>2</v>
      </c>
      <c r="B7" s="41">
        <v>2</v>
      </c>
      <c r="C7" s="19" t="s">
        <v>164</v>
      </c>
      <c r="D7" s="20"/>
      <c r="E7" s="20" t="s">
        <v>21</v>
      </c>
      <c r="F7" s="21" t="s">
        <v>170</v>
      </c>
      <c r="G7" s="21" t="s">
        <v>171</v>
      </c>
      <c r="H7" s="22">
        <v>44622</v>
      </c>
      <c r="I7" s="24" t="s">
        <v>172</v>
      </c>
      <c r="J7" s="22">
        <v>44718</v>
      </c>
      <c r="K7" s="22">
        <f t="shared" ref="K7:K10" si="0">IF($E7="IUPTLS",IF(ISBLANK(J7), " ", DATE(YEAR(J7)+5,MONTH(J7),DAY(J7))),IF($E7="SKTP","",""))</f>
        <v>46544</v>
      </c>
      <c r="L7" s="19" t="s">
        <v>173</v>
      </c>
      <c r="M7" s="19" t="s">
        <v>179</v>
      </c>
      <c r="N7" s="20">
        <v>2</v>
      </c>
      <c r="O7" s="20">
        <v>1675</v>
      </c>
      <c r="P7" s="20">
        <f>Table1[[#This Row],[15]]*Table1[[#This Row],[14]]</f>
        <v>3350</v>
      </c>
      <c r="Q7" s="20" t="s">
        <v>77</v>
      </c>
      <c r="R7" s="20" t="s">
        <v>78</v>
      </c>
      <c r="S7" s="9"/>
    </row>
    <row r="8" spans="1:19" ht="75" x14ac:dyDescent="0.3">
      <c r="A8" s="7">
        <f>IF($C8&lt;&gt;"", SUBTOTAL(103,$C$6:C8), "")</f>
        <v>3</v>
      </c>
      <c r="B8" s="41">
        <v>3</v>
      </c>
      <c r="C8" s="19" t="s">
        <v>165</v>
      </c>
      <c r="D8" s="20"/>
      <c r="E8" s="20" t="s">
        <v>21</v>
      </c>
      <c r="F8" s="21" t="s">
        <v>174</v>
      </c>
      <c r="G8" s="21" t="s">
        <v>175</v>
      </c>
      <c r="H8" s="22">
        <v>44622</v>
      </c>
      <c r="I8" s="24" t="s">
        <v>176</v>
      </c>
      <c r="J8" s="22">
        <v>44629</v>
      </c>
      <c r="K8" s="22">
        <f t="shared" si="0"/>
        <v>46455</v>
      </c>
      <c r="L8" s="19" t="s">
        <v>177</v>
      </c>
      <c r="M8" s="19" t="s">
        <v>180</v>
      </c>
      <c r="N8" s="20">
        <v>2</v>
      </c>
      <c r="O8" s="20">
        <v>735</v>
      </c>
      <c r="P8" s="20">
        <f>Table1[[#This Row],[15]]*Table1[[#This Row],[14]]</f>
        <v>1470</v>
      </c>
      <c r="Q8" s="20" t="s">
        <v>77</v>
      </c>
      <c r="R8" s="20" t="s">
        <v>78</v>
      </c>
      <c r="S8" s="9"/>
    </row>
    <row r="9" spans="1:19" ht="75" x14ac:dyDescent="0.3">
      <c r="A9" s="7">
        <f>IF($C9&lt;&gt;"", SUBTOTAL(103,$C$6:C9), "")</f>
        <v>4</v>
      </c>
      <c r="B9" s="41">
        <v>4</v>
      </c>
      <c r="C9" s="19" t="s">
        <v>163</v>
      </c>
      <c r="D9" s="20"/>
      <c r="E9" s="20" t="s">
        <v>22</v>
      </c>
      <c r="F9" s="20" t="s">
        <v>181</v>
      </c>
      <c r="G9" s="21" t="s">
        <v>182</v>
      </c>
      <c r="H9" s="22">
        <v>44641</v>
      </c>
      <c r="I9" s="20" t="s">
        <v>183</v>
      </c>
      <c r="J9" s="22">
        <v>44655</v>
      </c>
      <c r="K9" s="22" t="str">
        <f t="shared" si="0"/>
        <v/>
      </c>
      <c r="L9" s="19" t="s">
        <v>169</v>
      </c>
      <c r="M9" s="19" t="s">
        <v>178</v>
      </c>
      <c r="N9" s="20">
        <v>1</v>
      </c>
      <c r="O9" s="20">
        <v>400</v>
      </c>
      <c r="P9" s="20">
        <f>Table1[[#This Row],[15]]*Table1[[#This Row],[14]]</f>
        <v>400</v>
      </c>
      <c r="Q9" s="20" t="s">
        <v>77</v>
      </c>
      <c r="R9" s="20" t="s">
        <v>78</v>
      </c>
      <c r="S9" s="9"/>
    </row>
    <row r="10" spans="1:19" ht="75" x14ac:dyDescent="0.3">
      <c r="A10" s="7">
        <f>IF($C10&lt;&gt;"", SUBTOTAL(103,$C$6:C10), "")</f>
        <v>5</v>
      </c>
      <c r="B10" s="41">
        <v>5</v>
      </c>
      <c r="C10" s="19" t="s">
        <v>184</v>
      </c>
      <c r="D10" s="20"/>
      <c r="E10" s="20" t="s">
        <v>21</v>
      </c>
      <c r="F10" s="21" t="s">
        <v>185</v>
      </c>
      <c r="G10" s="21" t="s">
        <v>186</v>
      </c>
      <c r="H10" s="22">
        <v>44642</v>
      </c>
      <c r="I10" s="24" t="s">
        <v>187</v>
      </c>
      <c r="J10" s="22">
        <v>44649</v>
      </c>
      <c r="K10" s="22">
        <f t="shared" si="0"/>
        <v>46475</v>
      </c>
      <c r="L10" s="19" t="s">
        <v>188</v>
      </c>
      <c r="M10" s="19" t="s">
        <v>189</v>
      </c>
      <c r="N10" s="20">
        <v>1</v>
      </c>
      <c r="O10" s="20">
        <v>1250</v>
      </c>
      <c r="P10" s="20">
        <f>Table1[[#This Row],[15]]*Table1[[#This Row],[14]]</f>
        <v>1250</v>
      </c>
      <c r="Q10" s="20" t="s">
        <v>77</v>
      </c>
      <c r="R10" s="20" t="s">
        <v>78</v>
      </c>
      <c r="S10" s="9"/>
    </row>
    <row r="11" spans="1:19" ht="75" x14ac:dyDescent="0.3">
      <c r="A11" s="7">
        <f>IF($C11&lt;&gt;"", SUBTOTAL(103,$C$6:C11), "")</f>
        <v>6</v>
      </c>
      <c r="B11" s="41">
        <v>6</v>
      </c>
      <c r="C11" s="19" t="s">
        <v>190</v>
      </c>
      <c r="D11" s="20"/>
      <c r="E11" s="20" t="s">
        <v>22</v>
      </c>
      <c r="F11" s="20" t="s">
        <v>191</v>
      </c>
      <c r="G11" s="21" t="s">
        <v>192</v>
      </c>
      <c r="H11" s="22">
        <v>44757</v>
      </c>
      <c r="I11" s="20" t="s">
        <v>193</v>
      </c>
      <c r="J11" s="22">
        <v>44769</v>
      </c>
      <c r="K11" s="22" t="str">
        <f t="shared" ref="K11:K28" si="1">IF($E11="IUPTLS",IF(ISBLANK(J11), " ", DATE(YEAR(J11)+5,MONTH(J11),DAY(J11))),IF($E11="SKTP","",""))</f>
        <v/>
      </c>
      <c r="L11" s="19" t="s">
        <v>194</v>
      </c>
      <c r="M11" s="19" t="s">
        <v>195</v>
      </c>
      <c r="N11" s="20">
        <v>1</v>
      </c>
      <c r="O11" s="20">
        <v>500</v>
      </c>
      <c r="P11" s="20">
        <f>Table1[[#This Row],[15]]*Table1[[#This Row],[14]]</f>
        <v>500</v>
      </c>
      <c r="Q11" s="20" t="s">
        <v>77</v>
      </c>
      <c r="R11" s="20" t="s">
        <v>78</v>
      </c>
      <c r="S11" s="9"/>
    </row>
    <row r="12" spans="1:19" ht="60" x14ac:dyDescent="0.3">
      <c r="A12" s="7">
        <f>IF($C12&lt;&gt;"", SUBTOTAL(103,$C$6:C12), "")</f>
        <v>7</v>
      </c>
      <c r="B12" s="41">
        <v>7</v>
      </c>
      <c r="C12" s="25" t="s">
        <v>196</v>
      </c>
      <c r="D12" s="26"/>
      <c r="E12" s="26" t="s">
        <v>21</v>
      </c>
      <c r="F12" s="27" t="s">
        <v>198</v>
      </c>
      <c r="G12" s="27" t="s">
        <v>199</v>
      </c>
      <c r="H12" s="28">
        <v>44826</v>
      </c>
      <c r="I12" s="45" t="s">
        <v>200</v>
      </c>
      <c r="J12" s="30">
        <v>44844</v>
      </c>
      <c r="K12" s="28">
        <f t="shared" si="1"/>
        <v>46670</v>
      </c>
      <c r="L12" s="25" t="s">
        <v>201</v>
      </c>
      <c r="M12" s="25" t="s">
        <v>206</v>
      </c>
      <c r="N12" s="27">
        <v>2</v>
      </c>
      <c r="O12" s="27">
        <v>810</v>
      </c>
      <c r="P12" s="27">
        <f>Table1[[#This Row],[15]]*Table1[[#This Row],[14]]</f>
        <v>1620</v>
      </c>
      <c r="Q12" s="27" t="s">
        <v>77</v>
      </c>
      <c r="R12" s="26" t="s">
        <v>78</v>
      </c>
      <c r="S12" s="9"/>
    </row>
    <row r="13" spans="1:19" x14ac:dyDescent="0.3">
      <c r="A13" s="7" t="str">
        <f>IF($C13&lt;&gt;"", SUBTOTAL(103,$C$6:C13), "")</f>
        <v/>
      </c>
      <c r="B13" s="41">
        <f>B12</f>
        <v>7</v>
      </c>
      <c r="C13" s="31"/>
      <c r="D13" s="38"/>
      <c r="E13" s="38"/>
      <c r="F13" s="32"/>
      <c r="G13" s="32"/>
      <c r="H13" s="39"/>
      <c r="I13" s="38"/>
      <c r="J13" s="39"/>
      <c r="K13" s="39" t="str">
        <f t="shared" si="1"/>
        <v/>
      </c>
      <c r="L13" s="31"/>
      <c r="M13" s="31"/>
      <c r="N13" s="32">
        <v>1</v>
      </c>
      <c r="O13" s="32">
        <v>410</v>
      </c>
      <c r="P13" s="32">
        <f>Table1[[#This Row],[15]]*Table1[[#This Row],[14]]</f>
        <v>410</v>
      </c>
      <c r="Q13" s="32" t="s">
        <v>77</v>
      </c>
      <c r="R13" s="38" t="s">
        <v>78</v>
      </c>
      <c r="S13" s="9"/>
    </row>
    <row r="14" spans="1:19" ht="75" x14ac:dyDescent="0.3">
      <c r="A14" s="7">
        <f>IF($C14&lt;&gt;"", SUBTOTAL(103,$C$6:C14), "")</f>
        <v>8</v>
      </c>
      <c r="B14" s="41">
        <v>8</v>
      </c>
      <c r="C14" s="19" t="s">
        <v>197</v>
      </c>
      <c r="D14" s="20"/>
      <c r="E14" s="20" t="s">
        <v>22</v>
      </c>
      <c r="F14" s="20" t="s">
        <v>202</v>
      </c>
      <c r="G14" s="21" t="s">
        <v>203</v>
      </c>
      <c r="H14" s="22">
        <v>44826</v>
      </c>
      <c r="I14" s="20" t="s">
        <v>204</v>
      </c>
      <c r="J14" s="22">
        <v>44838</v>
      </c>
      <c r="K14" s="22" t="str">
        <f t="shared" si="1"/>
        <v/>
      </c>
      <c r="L14" s="19" t="s">
        <v>205</v>
      </c>
      <c r="M14" s="19" t="s">
        <v>207</v>
      </c>
      <c r="N14" s="20">
        <v>1</v>
      </c>
      <c r="O14" s="20">
        <v>100</v>
      </c>
      <c r="P14" s="20">
        <f>Table1[[#This Row],[15]]*Table1[[#This Row],[14]]</f>
        <v>100</v>
      </c>
      <c r="Q14" s="21" t="s">
        <v>77</v>
      </c>
      <c r="R14" s="20" t="s">
        <v>78</v>
      </c>
      <c r="S14" s="9"/>
    </row>
    <row r="15" spans="1:19" ht="60" x14ac:dyDescent="0.3">
      <c r="A15" s="7">
        <f>IF($C15&lt;&gt;"", SUBTOTAL(103,$C$6:C15), "")</f>
        <v>9</v>
      </c>
      <c r="B15" s="41">
        <v>9</v>
      </c>
      <c r="C15" s="19" t="s">
        <v>208</v>
      </c>
      <c r="D15" s="20"/>
      <c r="E15" s="20" t="s">
        <v>21</v>
      </c>
      <c r="F15" s="21" t="s">
        <v>209</v>
      </c>
      <c r="G15" s="21" t="s">
        <v>210</v>
      </c>
      <c r="H15" s="22">
        <v>44826</v>
      </c>
      <c r="I15" s="24" t="s">
        <v>211</v>
      </c>
      <c r="J15" s="22">
        <v>44838</v>
      </c>
      <c r="K15" s="22">
        <f t="shared" si="1"/>
        <v>46664</v>
      </c>
      <c r="L15" s="19" t="s">
        <v>212</v>
      </c>
      <c r="M15" s="19" t="s">
        <v>213</v>
      </c>
      <c r="N15" s="20">
        <v>1</v>
      </c>
      <c r="O15" s="20">
        <v>810</v>
      </c>
      <c r="P15" s="20">
        <f>Table1[[#This Row],[15]]*Table1[[#This Row],[14]]</f>
        <v>810</v>
      </c>
      <c r="Q15" s="21" t="s">
        <v>77</v>
      </c>
      <c r="R15" s="20" t="s">
        <v>78</v>
      </c>
      <c r="S15" s="9"/>
    </row>
    <row r="16" spans="1:19" ht="60" x14ac:dyDescent="0.3">
      <c r="A16" s="7">
        <f>IF($C16&lt;&gt;"", SUBTOTAL(103,$C$6:C16), "")</f>
        <v>10</v>
      </c>
      <c r="B16" s="41">
        <v>10</v>
      </c>
      <c r="C16" s="19" t="s">
        <v>214</v>
      </c>
      <c r="D16" s="20"/>
      <c r="E16" s="20" t="s">
        <v>22</v>
      </c>
      <c r="F16" s="20" t="s">
        <v>219</v>
      </c>
      <c r="G16" s="21" t="s">
        <v>220</v>
      </c>
      <c r="H16" s="22">
        <v>44826</v>
      </c>
      <c r="I16" s="20" t="s">
        <v>221</v>
      </c>
      <c r="J16" s="22">
        <v>44838</v>
      </c>
      <c r="K16" s="22" t="str">
        <f t="shared" si="1"/>
        <v/>
      </c>
      <c r="L16" s="19" t="s">
        <v>222</v>
      </c>
      <c r="M16" s="19" t="s">
        <v>239</v>
      </c>
      <c r="N16" s="20">
        <v>1</v>
      </c>
      <c r="O16" s="20">
        <v>410</v>
      </c>
      <c r="P16" s="20">
        <f>Table1[[#This Row],[15]]*Table1[[#This Row],[14]]</f>
        <v>410</v>
      </c>
      <c r="Q16" s="21" t="s">
        <v>77</v>
      </c>
      <c r="R16" s="20" t="s">
        <v>78</v>
      </c>
      <c r="S16" s="9"/>
    </row>
    <row r="17" spans="1:19" ht="105" x14ac:dyDescent="0.3">
      <c r="A17" s="7">
        <f>IF($C17&lt;&gt;"", SUBTOTAL(103,$C$6:C17), "")</f>
        <v>11</v>
      </c>
      <c r="B17" s="41">
        <v>11</v>
      </c>
      <c r="C17" s="19" t="s">
        <v>215</v>
      </c>
      <c r="D17" s="20"/>
      <c r="E17" s="20" t="s">
        <v>22</v>
      </c>
      <c r="F17" s="20" t="s">
        <v>223</v>
      </c>
      <c r="G17" s="21" t="s">
        <v>224</v>
      </c>
      <c r="H17" s="22">
        <v>44827</v>
      </c>
      <c r="I17" s="20" t="s">
        <v>225</v>
      </c>
      <c r="J17" s="22">
        <v>44838</v>
      </c>
      <c r="K17" s="22" t="str">
        <f t="shared" si="1"/>
        <v/>
      </c>
      <c r="L17" s="19" t="s">
        <v>226</v>
      </c>
      <c r="M17" s="19" t="s">
        <v>240</v>
      </c>
      <c r="N17" s="20">
        <v>1</v>
      </c>
      <c r="O17" s="20">
        <v>22</v>
      </c>
      <c r="P17" s="20">
        <f>Table1[[#This Row],[15]]*Table1[[#This Row],[14]]</f>
        <v>22</v>
      </c>
      <c r="Q17" s="21" t="s">
        <v>77</v>
      </c>
      <c r="R17" s="20" t="s">
        <v>78</v>
      </c>
      <c r="S17" s="9"/>
    </row>
    <row r="18" spans="1:19" ht="60" x14ac:dyDescent="0.3">
      <c r="A18" s="7">
        <f>IF($C18&lt;&gt;"", SUBTOTAL(103,$C$6:C18), "")</f>
        <v>12</v>
      </c>
      <c r="B18" s="41">
        <v>12</v>
      </c>
      <c r="C18" s="19" t="s">
        <v>216</v>
      </c>
      <c r="D18" s="20"/>
      <c r="E18" s="21" t="s">
        <v>21</v>
      </c>
      <c r="F18" s="21" t="s">
        <v>227</v>
      </c>
      <c r="G18" s="21" t="s">
        <v>228</v>
      </c>
      <c r="H18" s="22">
        <v>44827</v>
      </c>
      <c r="I18" s="24" t="s">
        <v>229</v>
      </c>
      <c r="J18" s="22">
        <v>44838</v>
      </c>
      <c r="K18" s="22">
        <f t="shared" si="1"/>
        <v>46664</v>
      </c>
      <c r="L18" s="19" t="s">
        <v>230</v>
      </c>
      <c r="M18" s="19" t="s">
        <v>241</v>
      </c>
      <c r="N18" s="20">
        <v>3</v>
      </c>
      <c r="O18" s="20">
        <v>500</v>
      </c>
      <c r="P18" s="20">
        <f>Table1[[#This Row],[15]]*Table1[[#This Row],[14]]</f>
        <v>1500</v>
      </c>
      <c r="Q18" s="21" t="s">
        <v>77</v>
      </c>
      <c r="R18" s="20" t="s">
        <v>78</v>
      </c>
      <c r="S18" s="9"/>
    </row>
    <row r="19" spans="1:19" ht="75" x14ac:dyDescent="0.3">
      <c r="A19" s="7">
        <f>IF($C19&lt;&gt;"", SUBTOTAL(103,$C$6:C19), "")</f>
        <v>13</v>
      </c>
      <c r="B19" s="41">
        <v>13</v>
      </c>
      <c r="C19" s="19" t="s">
        <v>217</v>
      </c>
      <c r="D19" s="20"/>
      <c r="E19" s="21" t="s">
        <v>21</v>
      </c>
      <c r="F19" s="21" t="s">
        <v>231</v>
      </c>
      <c r="G19" s="21" t="s">
        <v>232</v>
      </c>
      <c r="H19" s="22">
        <v>44827</v>
      </c>
      <c r="I19" s="24" t="s">
        <v>233</v>
      </c>
      <c r="J19" s="22">
        <v>44895</v>
      </c>
      <c r="K19" s="22">
        <f t="shared" si="1"/>
        <v>46721</v>
      </c>
      <c r="L19" s="19" t="s">
        <v>234</v>
      </c>
      <c r="M19" s="19" t="s">
        <v>242</v>
      </c>
      <c r="N19" s="20">
        <v>2</v>
      </c>
      <c r="O19" s="20">
        <v>500</v>
      </c>
      <c r="P19" s="20">
        <f>Table1[[#This Row],[15]]*Table1[[#This Row],[14]]</f>
        <v>1000</v>
      </c>
      <c r="Q19" s="21" t="s">
        <v>77</v>
      </c>
      <c r="R19" s="20" t="s">
        <v>78</v>
      </c>
      <c r="S19" s="9"/>
    </row>
    <row r="20" spans="1:19" ht="75" x14ac:dyDescent="0.3">
      <c r="A20" s="7">
        <f>IF($C20&lt;&gt;"", SUBTOTAL(103,$C$6:C20), "")</f>
        <v>14</v>
      </c>
      <c r="B20" s="41">
        <v>14</v>
      </c>
      <c r="C20" s="19" t="s">
        <v>218</v>
      </c>
      <c r="D20" s="20"/>
      <c r="E20" s="21" t="s">
        <v>21</v>
      </c>
      <c r="F20" s="21" t="s">
        <v>235</v>
      </c>
      <c r="G20" s="21" t="s">
        <v>236</v>
      </c>
      <c r="H20" s="22">
        <v>44827</v>
      </c>
      <c r="I20" s="24" t="s">
        <v>237</v>
      </c>
      <c r="J20" s="22">
        <v>44838</v>
      </c>
      <c r="K20" s="22">
        <f t="shared" si="1"/>
        <v>46664</v>
      </c>
      <c r="L20" s="19" t="s">
        <v>238</v>
      </c>
      <c r="M20" s="19" t="s">
        <v>243</v>
      </c>
      <c r="N20" s="20">
        <v>2</v>
      </c>
      <c r="O20" s="20">
        <v>350</v>
      </c>
      <c r="P20" s="20">
        <f>Table1[[#This Row],[15]]*Table1[[#This Row],[14]]</f>
        <v>700</v>
      </c>
      <c r="Q20" s="21" t="s">
        <v>77</v>
      </c>
      <c r="R20" s="20" t="s">
        <v>78</v>
      </c>
      <c r="S20" s="9"/>
    </row>
    <row r="21" spans="1:19" ht="45" x14ac:dyDescent="0.3">
      <c r="A21" s="7">
        <f>IF($C21&lt;&gt;"", SUBTOTAL(103,$C$6:C21), "")</f>
        <v>15</v>
      </c>
      <c r="B21" s="41">
        <v>15</v>
      </c>
      <c r="C21" s="19" t="s">
        <v>244</v>
      </c>
      <c r="D21" s="20"/>
      <c r="E21" s="21" t="s">
        <v>21</v>
      </c>
      <c r="F21" s="21" t="s">
        <v>245</v>
      </c>
      <c r="G21" s="21" t="s">
        <v>246</v>
      </c>
      <c r="H21" s="22">
        <v>44834</v>
      </c>
      <c r="I21" s="24" t="s">
        <v>247</v>
      </c>
      <c r="J21" s="22">
        <v>44846</v>
      </c>
      <c r="K21" s="22">
        <f t="shared" si="1"/>
        <v>46672</v>
      </c>
      <c r="L21" s="19" t="s">
        <v>248</v>
      </c>
      <c r="M21" s="19" t="s">
        <v>249</v>
      </c>
      <c r="N21" s="20">
        <v>2</v>
      </c>
      <c r="O21" s="20">
        <v>800</v>
      </c>
      <c r="P21" s="20">
        <f>Table1[[#This Row],[15]]*Table1[[#This Row],[14]]</f>
        <v>1600</v>
      </c>
      <c r="Q21" s="21" t="s">
        <v>77</v>
      </c>
      <c r="R21" s="20" t="s">
        <v>78</v>
      </c>
      <c r="S21" s="9"/>
    </row>
    <row r="22" spans="1:19" ht="75" x14ac:dyDescent="0.3">
      <c r="A22" s="7">
        <f>IF($C22&lt;&gt;"", SUBTOTAL(103,$C$6:C22), "")</f>
        <v>16</v>
      </c>
      <c r="B22" s="41">
        <v>16</v>
      </c>
      <c r="C22" s="19" t="s">
        <v>250</v>
      </c>
      <c r="D22" s="91"/>
      <c r="E22" s="20" t="s">
        <v>22</v>
      </c>
      <c r="F22" s="20" t="s">
        <v>253</v>
      </c>
      <c r="G22" s="21" t="s">
        <v>254</v>
      </c>
      <c r="H22" s="22">
        <v>44874</v>
      </c>
      <c r="I22" s="21" t="s">
        <v>255</v>
      </c>
      <c r="J22" s="34">
        <v>44887</v>
      </c>
      <c r="K22" s="22" t="str">
        <f t="shared" si="1"/>
        <v/>
      </c>
      <c r="L22" s="19" t="s">
        <v>256</v>
      </c>
      <c r="M22" s="19" t="s">
        <v>265</v>
      </c>
      <c r="N22" s="21">
        <v>1</v>
      </c>
      <c r="O22" s="21">
        <v>250</v>
      </c>
      <c r="P22" s="21">
        <f>Table1[[#This Row],[15]]*Table1[[#This Row],[14]]</f>
        <v>250</v>
      </c>
      <c r="Q22" s="21" t="s">
        <v>77</v>
      </c>
      <c r="R22" s="20" t="s">
        <v>78</v>
      </c>
      <c r="S22" s="9"/>
    </row>
    <row r="23" spans="1:19" ht="75" x14ac:dyDescent="0.3">
      <c r="A23" s="7">
        <f>IF($C23&lt;&gt;"", SUBTOTAL(103,$C$6:C23), "")</f>
        <v>17</v>
      </c>
      <c r="B23" s="41">
        <v>17</v>
      </c>
      <c r="C23" s="19" t="s">
        <v>251</v>
      </c>
      <c r="D23" s="91"/>
      <c r="E23" s="20" t="s">
        <v>22</v>
      </c>
      <c r="F23" s="20" t="s">
        <v>257</v>
      </c>
      <c r="G23" s="21" t="s">
        <v>258</v>
      </c>
      <c r="H23" s="22">
        <v>44874</v>
      </c>
      <c r="I23" s="21" t="s">
        <v>259</v>
      </c>
      <c r="J23" s="34">
        <v>44887</v>
      </c>
      <c r="K23" s="22" t="str">
        <f t="shared" si="1"/>
        <v/>
      </c>
      <c r="L23" s="19" t="s">
        <v>260</v>
      </c>
      <c r="M23" s="19" t="s">
        <v>266</v>
      </c>
      <c r="N23" s="21">
        <v>1</v>
      </c>
      <c r="O23" s="21">
        <v>150</v>
      </c>
      <c r="P23" s="21">
        <f>Table1[[#This Row],[15]]*Table1[[#This Row],[14]]</f>
        <v>150</v>
      </c>
      <c r="Q23" s="21" t="s">
        <v>77</v>
      </c>
      <c r="R23" s="20" t="s">
        <v>78</v>
      </c>
      <c r="S23" s="9"/>
    </row>
    <row r="24" spans="1:19" ht="75" x14ac:dyDescent="0.3">
      <c r="A24" s="7">
        <f>IF($C24&lt;&gt;"", SUBTOTAL(103,$C$6:C24), "")</f>
        <v>18</v>
      </c>
      <c r="B24" s="41">
        <v>18</v>
      </c>
      <c r="C24" s="19" t="s">
        <v>252</v>
      </c>
      <c r="D24" s="91"/>
      <c r="E24" s="20" t="s">
        <v>22</v>
      </c>
      <c r="F24" s="20" t="s">
        <v>261</v>
      </c>
      <c r="G24" s="21" t="s">
        <v>262</v>
      </c>
      <c r="H24" s="22">
        <v>44874</v>
      </c>
      <c r="I24" s="21" t="s">
        <v>263</v>
      </c>
      <c r="J24" s="34">
        <v>44893</v>
      </c>
      <c r="K24" s="22" t="str">
        <f t="shared" si="1"/>
        <v/>
      </c>
      <c r="L24" s="19" t="s">
        <v>264</v>
      </c>
      <c r="M24" s="19" t="s">
        <v>267</v>
      </c>
      <c r="N24" s="21">
        <v>1</v>
      </c>
      <c r="O24" s="21">
        <v>165</v>
      </c>
      <c r="P24" s="21">
        <f>Table1[[#This Row],[15]]*Table1[[#This Row],[14]]</f>
        <v>165</v>
      </c>
      <c r="Q24" s="21" t="s">
        <v>77</v>
      </c>
      <c r="R24" s="20" t="s">
        <v>78</v>
      </c>
      <c r="S24" s="9"/>
    </row>
    <row r="25" spans="1:19" ht="45" x14ac:dyDescent="0.3">
      <c r="A25" s="7">
        <f>IF($C25&lt;&gt;"", SUBTOTAL(103,$C$6:C25), "")</f>
        <v>19</v>
      </c>
      <c r="B25" s="41">
        <v>19</v>
      </c>
      <c r="C25" s="25" t="s">
        <v>268</v>
      </c>
      <c r="D25" s="59"/>
      <c r="E25" s="27" t="s">
        <v>22</v>
      </c>
      <c r="F25" s="27" t="s">
        <v>270</v>
      </c>
      <c r="G25" s="27" t="s">
        <v>271</v>
      </c>
      <c r="H25" s="28">
        <v>44875</v>
      </c>
      <c r="I25" s="27" t="s">
        <v>272</v>
      </c>
      <c r="J25" s="30">
        <v>44887</v>
      </c>
      <c r="K25" s="28" t="str">
        <f t="shared" si="1"/>
        <v/>
      </c>
      <c r="L25" s="88" t="s">
        <v>273</v>
      </c>
      <c r="M25" s="25" t="s">
        <v>278</v>
      </c>
      <c r="N25" s="27">
        <v>1</v>
      </c>
      <c r="O25" s="27">
        <v>200</v>
      </c>
      <c r="P25" s="27">
        <f>Table1[[#This Row],[15]]*Table1[[#This Row],[14]]</f>
        <v>200</v>
      </c>
      <c r="Q25" s="27" t="s">
        <v>77</v>
      </c>
      <c r="R25" s="26" t="s">
        <v>136</v>
      </c>
      <c r="S25" s="9"/>
    </row>
    <row r="26" spans="1:19" x14ac:dyDescent="0.3">
      <c r="A26" s="7" t="str">
        <f>IF($C26&lt;&gt;"", SUBTOTAL(103,$C$6:C26), "")</f>
        <v/>
      </c>
      <c r="B26" s="41">
        <f>B25</f>
        <v>19</v>
      </c>
      <c r="C26" s="31"/>
      <c r="D26" s="60"/>
      <c r="E26" s="38"/>
      <c r="F26" s="32"/>
      <c r="G26" s="32"/>
      <c r="H26" s="39"/>
      <c r="I26" s="32"/>
      <c r="J26" s="51"/>
      <c r="K26" s="39" t="str">
        <f t="shared" si="1"/>
        <v/>
      </c>
      <c r="L26" s="53"/>
      <c r="M26" s="31"/>
      <c r="N26" s="32">
        <v>1</v>
      </c>
      <c r="O26" s="32">
        <v>365</v>
      </c>
      <c r="P26" s="32">
        <f>Table1[[#This Row],[15]]*Table1[[#This Row],[14]]</f>
        <v>365</v>
      </c>
      <c r="Q26" s="32" t="s">
        <v>77</v>
      </c>
      <c r="R26" s="38" t="s">
        <v>136</v>
      </c>
      <c r="S26" s="8"/>
    </row>
    <row r="27" spans="1:19" ht="60" x14ac:dyDescent="0.3">
      <c r="A27" s="7">
        <f>IF($C27&lt;&gt;"", SUBTOTAL(103,$C$6:C27), "")</f>
        <v>20</v>
      </c>
      <c r="B27" s="41">
        <v>20</v>
      </c>
      <c r="C27" s="19" t="s">
        <v>269</v>
      </c>
      <c r="D27" s="91"/>
      <c r="E27" s="21" t="s">
        <v>22</v>
      </c>
      <c r="F27" s="21" t="s">
        <v>274</v>
      </c>
      <c r="G27" s="21" t="s">
        <v>275</v>
      </c>
      <c r="H27" s="22">
        <v>44875</v>
      </c>
      <c r="I27" s="21" t="s">
        <v>276</v>
      </c>
      <c r="J27" s="34">
        <v>44887</v>
      </c>
      <c r="K27" s="22" t="str">
        <f t="shared" si="1"/>
        <v/>
      </c>
      <c r="L27" s="92" t="s">
        <v>277</v>
      </c>
      <c r="M27" s="19" t="s">
        <v>279</v>
      </c>
      <c r="N27" s="21">
        <v>1</v>
      </c>
      <c r="O27" s="21">
        <v>550</v>
      </c>
      <c r="P27" s="21">
        <f>Table1[[#This Row],[15]]*Table1[[#This Row],[14]]</f>
        <v>550</v>
      </c>
      <c r="Q27" s="21" t="s">
        <v>77</v>
      </c>
      <c r="R27" s="20" t="s">
        <v>136</v>
      </c>
      <c r="S27" s="9"/>
    </row>
    <row r="28" spans="1:19" ht="75" x14ac:dyDescent="0.3">
      <c r="A28" s="7">
        <f>IF($C28&lt;&gt;"", SUBTOTAL(103,$C$6:C28), "")</f>
        <v>21</v>
      </c>
      <c r="B28" s="41">
        <v>21</v>
      </c>
      <c r="C28" s="19" t="s">
        <v>280</v>
      </c>
      <c r="D28" s="20"/>
      <c r="E28" s="20" t="s">
        <v>22</v>
      </c>
      <c r="F28" s="21" t="s">
        <v>281</v>
      </c>
      <c r="G28" s="21" t="s">
        <v>282</v>
      </c>
      <c r="H28" s="22">
        <v>44900</v>
      </c>
      <c r="I28" s="20" t="s">
        <v>283</v>
      </c>
      <c r="J28" s="22">
        <v>44917</v>
      </c>
      <c r="K28" s="22" t="str">
        <f t="shared" si="1"/>
        <v/>
      </c>
      <c r="L28" s="19" t="s">
        <v>284</v>
      </c>
      <c r="M28" s="19" t="s">
        <v>285</v>
      </c>
      <c r="N28" s="21">
        <v>1</v>
      </c>
      <c r="O28" s="21">
        <v>591</v>
      </c>
      <c r="P28" s="21">
        <f>Table1[[#This Row],[15]]*Table1[[#This Row],[14]]</f>
        <v>591</v>
      </c>
      <c r="Q28" s="21" t="s">
        <v>77</v>
      </c>
      <c r="R28" s="20" t="s">
        <v>78</v>
      </c>
      <c r="S28" s="9"/>
    </row>
    <row r="31" spans="1:19" ht="15" customHeight="1" x14ac:dyDescent="0.3">
      <c r="G31" s="87" t="s">
        <v>23</v>
      </c>
      <c r="H31" s="83">
        <f>COUNTIF($E$6:$E$28,"IUPTLS")</f>
        <v>10</v>
      </c>
      <c r="N31" s="132" t="s">
        <v>69</v>
      </c>
      <c r="O31" s="132"/>
      <c r="P31" s="133">
        <f>SUM($P$6:$P$28)</f>
        <v>18223</v>
      </c>
    </row>
    <row r="32" spans="1:19" ht="15" customHeight="1" x14ac:dyDescent="0.3">
      <c r="G32" s="87" t="s">
        <v>24</v>
      </c>
      <c r="H32" s="84">
        <f>COUNTIF($E$6:$E$28,"SKTP")</f>
        <v>11</v>
      </c>
      <c r="N32" s="132"/>
      <c r="O32" s="132"/>
      <c r="P32" s="133"/>
    </row>
    <row r="33" spans="7:8" ht="15" customHeight="1" x14ac:dyDescent="0.3">
      <c r="G33" s="87" t="s">
        <v>25</v>
      </c>
      <c r="H33" s="82">
        <f>SUM(H31:H32)</f>
        <v>21</v>
      </c>
    </row>
  </sheetData>
  <mergeCells count="9">
    <mergeCell ref="S3:S4"/>
    <mergeCell ref="A1:R1"/>
    <mergeCell ref="N31:O32"/>
    <mergeCell ref="P31:P32"/>
    <mergeCell ref="C3:D3"/>
    <mergeCell ref="E3:K3"/>
    <mergeCell ref="L3:R3"/>
    <mergeCell ref="A3:A4"/>
    <mergeCell ref="B3:B4"/>
  </mergeCells>
  <conditionalFormatting sqref="C6:C28">
    <cfRule type="expression" dxfId="38" priority="7">
      <formula>AND($I6="",$C6&lt;&gt;"")</formula>
    </cfRule>
  </conditionalFormatting>
  <conditionalFormatting sqref="B6:B28">
    <cfRule type="expression" dxfId="37" priority="30">
      <formula>ISBLANK($B6:$B59)</formula>
    </cfRule>
  </conditionalFormatting>
  <conditionalFormatting sqref="I6:I28">
    <cfRule type="expression" dxfId="36" priority="1">
      <formula>TODAY()&gt;=$K6</formula>
    </cfRule>
    <cfRule type="expression" dxfId="35" priority="2">
      <formula>AND($K6&gt;=TODAY(),$K6&lt;=TODAY()+30)</formula>
    </cfRule>
  </conditionalFormatting>
  <pageMargins left="0.25" right="0.25" top="0.75" bottom="0.75" header="0.3" footer="0.3"/>
  <pageSetup paperSize="9" scale="37" fitToHeight="0" orientation="landscape" r:id="rId1"/>
  <rowBreaks count="1" manualBreakCount="1">
    <brk id="24" max="16383" man="1"/>
  </rowBreak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23E1F-6595-4A8F-881B-1805CF4BBB6D}">
  <sheetPr>
    <outlinePr summaryBelow="0" summaryRight="0"/>
    <pageSetUpPr fitToPage="1"/>
  </sheetPr>
  <dimension ref="A1:S63"/>
  <sheetViews>
    <sheetView topLeftCell="H40" zoomScale="85" zoomScaleNormal="85" zoomScaleSheetLayoutView="85" workbookViewId="0">
      <selection activeCell="I46" sqref="I46"/>
    </sheetView>
  </sheetViews>
  <sheetFormatPr defaultColWidth="8.88671875" defaultRowHeight="15" x14ac:dyDescent="0.3"/>
  <cols>
    <col min="1" max="1" width="7.109375" style="1" bestFit="1" customWidth="1"/>
    <col min="2" max="2" width="7.109375" style="1" customWidth="1"/>
    <col min="3" max="3" width="30" style="2" bestFit="1" customWidth="1"/>
    <col min="4" max="4" width="21.88671875" style="5" customWidth="1"/>
    <col min="5" max="5" width="9" style="1" bestFit="1" customWidth="1"/>
    <col min="6" max="6" width="28.88671875" style="3" bestFit="1" customWidth="1"/>
    <col min="7" max="7" width="31.44140625" style="3" bestFit="1" customWidth="1"/>
    <col min="8" max="8" width="21.6640625" style="4" bestFit="1" customWidth="1"/>
    <col min="9" max="9" width="46.33203125" style="3" customWidth="1"/>
    <col min="10" max="10" width="21.6640625" style="4" customWidth="1"/>
    <col min="11" max="11" width="20.6640625" style="4" customWidth="1"/>
    <col min="12" max="12" width="26.6640625" style="5" bestFit="1" customWidth="1"/>
    <col min="13" max="13" width="19.88671875" style="5" bestFit="1" customWidth="1"/>
    <col min="14" max="14" width="9.33203125" style="1" bestFit="1" customWidth="1"/>
    <col min="15" max="15" width="12.5546875" style="1" bestFit="1" customWidth="1"/>
    <col min="16" max="16" width="16.44140625" style="6" bestFit="1" customWidth="1"/>
    <col min="17" max="17" width="9.109375" style="1" bestFit="1" customWidth="1"/>
    <col min="18" max="18" width="16" style="1" bestFit="1" customWidth="1"/>
    <col min="19" max="19" width="28.44140625" style="2" customWidth="1"/>
    <col min="20" max="16384" width="8.88671875" style="2"/>
  </cols>
  <sheetData>
    <row r="1" spans="1:19" ht="17.399999999999999" x14ac:dyDescent="0.3">
      <c r="A1" s="134" t="s">
        <v>61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</row>
    <row r="2" spans="1:19" x14ac:dyDescent="0.3">
      <c r="D2" s="2"/>
      <c r="F2" s="1"/>
      <c r="H2" s="1"/>
      <c r="J2" s="1"/>
      <c r="K2" s="1"/>
      <c r="L2" s="1"/>
      <c r="M2" s="1"/>
    </row>
    <row r="3" spans="1:19" ht="15.6" x14ac:dyDescent="0.3">
      <c r="A3" s="131" t="s">
        <v>3</v>
      </c>
      <c r="B3" s="131" t="s">
        <v>4</v>
      </c>
      <c r="C3" s="131" t="s">
        <v>0</v>
      </c>
      <c r="D3" s="131"/>
      <c r="E3" s="131" t="s">
        <v>1</v>
      </c>
      <c r="F3" s="131"/>
      <c r="G3" s="131"/>
      <c r="H3" s="131"/>
      <c r="I3" s="131"/>
      <c r="J3" s="131"/>
      <c r="K3" s="131"/>
      <c r="L3" s="131" t="s">
        <v>2</v>
      </c>
      <c r="M3" s="131"/>
      <c r="N3" s="131"/>
      <c r="O3" s="131"/>
      <c r="P3" s="131"/>
      <c r="Q3" s="131"/>
      <c r="R3" s="131"/>
      <c r="S3" s="131" t="s">
        <v>19</v>
      </c>
    </row>
    <row r="4" spans="1:19" s="1" customFormat="1" ht="46.8" x14ac:dyDescent="0.3">
      <c r="A4" s="131"/>
      <c r="B4" s="131"/>
      <c r="C4" s="17" t="s">
        <v>5</v>
      </c>
      <c r="D4" s="17" t="s">
        <v>6</v>
      </c>
      <c r="E4" s="17" t="s">
        <v>7</v>
      </c>
      <c r="F4" s="17" t="s">
        <v>8</v>
      </c>
      <c r="G4" s="17" t="s">
        <v>9</v>
      </c>
      <c r="H4" s="17" t="s">
        <v>10</v>
      </c>
      <c r="I4" s="43" t="s">
        <v>11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16</v>
      </c>
      <c r="O4" s="43" t="s">
        <v>17</v>
      </c>
      <c r="P4" s="18" t="s">
        <v>69</v>
      </c>
      <c r="Q4" s="17" t="s">
        <v>7</v>
      </c>
      <c r="R4" s="17" t="s">
        <v>18</v>
      </c>
      <c r="S4" s="131"/>
    </row>
    <row r="5" spans="1:19" s="1" customFormat="1" x14ac:dyDescent="0.3">
      <c r="A5" s="10" t="s">
        <v>26</v>
      </c>
      <c r="B5" s="11" t="s">
        <v>27</v>
      </c>
      <c r="C5" s="11" t="s">
        <v>28</v>
      </c>
      <c r="D5" s="11" t="s">
        <v>29</v>
      </c>
      <c r="E5" s="11" t="s">
        <v>30</v>
      </c>
      <c r="F5" s="11" t="s">
        <v>31</v>
      </c>
      <c r="G5" s="11" t="s">
        <v>32</v>
      </c>
      <c r="H5" s="11" t="s">
        <v>33</v>
      </c>
      <c r="I5" s="44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1" t="s">
        <v>39</v>
      </c>
      <c r="O5" s="11" t="s">
        <v>40</v>
      </c>
      <c r="P5" s="12" t="s">
        <v>20</v>
      </c>
      <c r="Q5" s="11" t="s">
        <v>41</v>
      </c>
      <c r="R5" s="11" t="s">
        <v>42</v>
      </c>
      <c r="S5" s="13" t="s">
        <v>43</v>
      </c>
    </row>
    <row r="6" spans="1:19" ht="75" x14ac:dyDescent="0.3">
      <c r="A6" s="7">
        <f>IF($C6&lt;&gt;"", SUBTOTAL(103,$C$6:C6), "")</f>
        <v>1</v>
      </c>
      <c r="B6" s="41">
        <v>1</v>
      </c>
      <c r="C6" s="25" t="s">
        <v>286</v>
      </c>
      <c r="D6" s="26"/>
      <c r="E6" s="26" t="s">
        <v>22</v>
      </c>
      <c r="F6" s="26" t="s">
        <v>287</v>
      </c>
      <c r="G6" s="27" t="s">
        <v>288</v>
      </c>
      <c r="H6" s="28">
        <v>44641</v>
      </c>
      <c r="I6" s="26" t="s">
        <v>289</v>
      </c>
      <c r="J6" s="28">
        <v>44655</v>
      </c>
      <c r="K6" s="28" t="str">
        <f t="shared" ref="K6:K36" si="0">IF($E6="IUPTLS",IF(ISBLANK(J6), " ", DATE(YEAR(J6)+5,MONTH(J6),DAY(J6))),IF($E6="SKTP","",""))</f>
        <v/>
      </c>
      <c r="L6" s="25" t="s">
        <v>290</v>
      </c>
      <c r="M6" s="25" t="s">
        <v>291</v>
      </c>
      <c r="N6" s="26">
        <v>1</v>
      </c>
      <c r="O6" s="26">
        <v>100</v>
      </c>
      <c r="P6" s="26">
        <f>Table14[[#This Row],[14]]*Table14[[#This Row],[15]]</f>
        <v>100</v>
      </c>
      <c r="Q6" s="26" t="s">
        <v>77</v>
      </c>
      <c r="R6" s="26" t="s">
        <v>78</v>
      </c>
      <c r="S6" s="9"/>
    </row>
    <row r="7" spans="1:19" x14ac:dyDescent="0.3">
      <c r="A7" s="7" t="str">
        <f>IF($C7&lt;&gt;"", SUBTOTAL(103,$C$6:C7), "")</f>
        <v/>
      </c>
      <c r="B7" s="41">
        <f>B6</f>
        <v>1</v>
      </c>
      <c r="C7" s="31"/>
      <c r="D7" s="38"/>
      <c r="E7" s="38"/>
      <c r="F7" s="32"/>
      <c r="G7" s="32"/>
      <c r="H7" s="39"/>
      <c r="I7" s="38"/>
      <c r="J7" s="39"/>
      <c r="K7" s="39" t="str">
        <f t="shared" si="0"/>
        <v/>
      </c>
      <c r="L7" s="31"/>
      <c r="M7" s="31"/>
      <c r="N7" s="38">
        <v>1</v>
      </c>
      <c r="O7" s="38">
        <v>110</v>
      </c>
      <c r="P7" s="38">
        <f>Table14[[#This Row],[14]]*Table14[[#This Row],[15]]</f>
        <v>110</v>
      </c>
      <c r="Q7" s="38" t="s">
        <v>77</v>
      </c>
      <c r="R7" s="38" t="s">
        <v>78</v>
      </c>
      <c r="S7" s="9"/>
    </row>
    <row r="8" spans="1:19" ht="60" x14ac:dyDescent="0.3">
      <c r="A8" s="7">
        <f>IF($C8&lt;&gt;"", SUBTOTAL(103,$C$6:C8), "")</f>
        <v>2</v>
      </c>
      <c r="B8" s="41">
        <v>2</v>
      </c>
      <c r="C8" s="25" t="s">
        <v>292</v>
      </c>
      <c r="D8" s="26"/>
      <c r="E8" s="26" t="s">
        <v>21</v>
      </c>
      <c r="F8" s="27" t="s">
        <v>294</v>
      </c>
      <c r="G8" s="27" t="s">
        <v>295</v>
      </c>
      <c r="H8" s="28">
        <v>44655</v>
      </c>
      <c r="I8" s="35" t="s">
        <v>296</v>
      </c>
      <c r="J8" s="28">
        <v>44656</v>
      </c>
      <c r="K8" s="28">
        <f t="shared" si="0"/>
        <v>46482</v>
      </c>
      <c r="L8" s="25" t="s">
        <v>297</v>
      </c>
      <c r="M8" s="25" t="s">
        <v>302</v>
      </c>
      <c r="N8" s="26">
        <v>2</v>
      </c>
      <c r="O8" s="26">
        <v>377</v>
      </c>
      <c r="P8" s="26">
        <f>Table14[[#This Row],[14]]*Table14[[#This Row],[15]]</f>
        <v>754</v>
      </c>
      <c r="Q8" s="26" t="s">
        <v>77</v>
      </c>
      <c r="R8" s="26" t="s">
        <v>78</v>
      </c>
      <c r="S8" s="9"/>
    </row>
    <row r="9" spans="1:19" x14ac:dyDescent="0.3">
      <c r="A9" s="7" t="str">
        <f>IF($C9&lt;&gt;"", SUBTOTAL(103,$C$6:C9), "")</f>
        <v/>
      </c>
      <c r="B9" s="41">
        <f t="shared" ref="B9:B58" si="1">B8</f>
        <v>2</v>
      </c>
      <c r="C9" s="31"/>
      <c r="D9" s="38"/>
      <c r="E9" s="38"/>
      <c r="F9" s="32"/>
      <c r="G9" s="32"/>
      <c r="H9" s="39"/>
      <c r="I9" s="38"/>
      <c r="J9" s="39"/>
      <c r="K9" s="39" t="str">
        <f t="shared" si="0"/>
        <v/>
      </c>
      <c r="L9" s="31"/>
      <c r="M9" s="31"/>
      <c r="N9" s="38">
        <v>1</v>
      </c>
      <c r="O9" s="38">
        <v>380</v>
      </c>
      <c r="P9" s="38">
        <f>Table14[[#This Row],[14]]*Table14[[#This Row],[15]]</f>
        <v>380</v>
      </c>
      <c r="Q9" s="38" t="s">
        <v>77</v>
      </c>
      <c r="R9" s="38" t="s">
        <v>78</v>
      </c>
      <c r="S9" s="9"/>
    </row>
    <row r="10" spans="1:19" ht="60" x14ac:dyDescent="0.3">
      <c r="A10" s="7">
        <f>IF($C10&lt;&gt;"", SUBTOTAL(103,$C$6:C10), "")</f>
        <v>3</v>
      </c>
      <c r="B10" s="41">
        <v>3</v>
      </c>
      <c r="C10" s="25" t="s">
        <v>293</v>
      </c>
      <c r="D10" s="26"/>
      <c r="E10" s="26" t="s">
        <v>21</v>
      </c>
      <c r="F10" s="27" t="s">
        <v>298</v>
      </c>
      <c r="G10" s="27" t="s">
        <v>299</v>
      </c>
      <c r="H10" s="28">
        <v>44677</v>
      </c>
      <c r="I10" s="35" t="s">
        <v>300</v>
      </c>
      <c r="J10" s="28">
        <v>44678</v>
      </c>
      <c r="K10" s="28">
        <f t="shared" si="0"/>
        <v>46504</v>
      </c>
      <c r="L10" s="25" t="s">
        <v>301</v>
      </c>
      <c r="M10" s="25" t="s">
        <v>303</v>
      </c>
      <c r="N10" s="26">
        <v>1</v>
      </c>
      <c r="O10" s="26">
        <v>2000</v>
      </c>
      <c r="P10" s="26">
        <f>Table14[[#This Row],[14]]*Table14[[#This Row],[15]]</f>
        <v>2000</v>
      </c>
      <c r="Q10" s="26" t="s">
        <v>304</v>
      </c>
      <c r="R10" s="26" t="s">
        <v>103</v>
      </c>
      <c r="S10" s="9"/>
    </row>
    <row r="11" spans="1:19" ht="45" x14ac:dyDescent="0.3">
      <c r="A11" s="7" t="str">
        <f>IF($C11&lt;&gt;"", SUBTOTAL(103,$C$6:C11), "")</f>
        <v/>
      </c>
      <c r="B11" s="41">
        <f t="shared" si="1"/>
        <v>3</v>
      </c>
      <c r="C11" s="36"/>
      <c r="D11" s="37"/>
      <c r="E11" s="37"/>
      <c r="F11" s="46"/>
      <c r="G11" s="46"/>
      <c r="H11" s="47"/>
      <c r="I11" s="37"/>
      <c r="J11" s="47"/>
      <c r="K11" s="47" t="str">
        <f t="shared" si="0"/>
        <v/>
      </c>
      <c r="L11" s="36"/>
      <c r="M11" s="36" t="s">
        <v>305</v>
      </c>
      <c r="N11" s="37">
        <v>1</v>
      </c>
      <c r="O11" s="37">
        <v>1625</v>
      </c>
      <c r="P11" s="37">
        <f>Table14[[#This Row],[14]]*Table14[[#This Row],[15]]</f>
        <v>1625</v>
      </c>
      <c r="Q11" s="37" t="s">
        <v>306</v>
      </c>
      <c r="R11" s="37"/>
      <c r="S11" s="9"/>
    </row>
    <row r="12" spans="1:19" x14ac:dyDescent="0.3">
      <c r="A12" s="7" t="str">
        <f>IF($C12&lt;&gt;"", SUBTOTAL(103,$C$6:C12), "")</f>
        <v/>
      </c>
      <c r="B12" s="41">
        <f t="shared" si="1"/>
        <v>3</v>
      </c>
      <c r="C12" s="36"/>
      <c r="D12" s="37"/>
      <c r="E12" s="37"/>
      <c r="F12" s="46"/>
      <c r="G12" s="46"/>
      <c r="H12" s="47"/>
      <c r="I12" s="37"/>
      <c r="J12" s="47"/>
      <c r="K12" s="47" t="str">
        <f t="shared" si="0"/>
        <v/>
      </c>
      <c r="L12" s="36"/>
      <c r="M12" s="36"/>
      <c r="N12" s="37">
        <v>2</v>
      </c>
      <c r="O12" s="37">
        <v>729</v>
      </c>
      <c r="P12" s="37">
        <f>Table14[[#This Row],[14]]*Table14[[#This Row],[15]]</f>
        <v>1458</v>
      </c>
      <c r="Q12" s="37" t="s">
        <v>77</v>
      </c>
      <c r="R12" s="37"/>
      <c r="S12" s="9"/>
    </row>
    <row r="13" spans="1:19" x14ac:dyDescent="0.3">
      <c r="A13" s="7" t="str">
        <f>IF($C13&lt;&gt;"", SUBTOTAL(103,$C$6:C13), "")</f>
        <v/>
      </c>
      <c r="B13" s="41">
        <f t="shared" si="1"/>
        <v>3</v>
      </c>
      <c r="C13" s="31"/>
      <c r="D13" s="38"/>
      <c r="E13" s="38"/>
      <c r="F13" s="51"/>
      <c r="G13" s="32"/>
      <c r="H13" s="39"/>
      <c r="I13" s="38"/>
      <c r="J13" s="39"/>
      <c r="K13" s="39" t="str">
        <f t="shared" si="0"/>
        <v/>
      </c>
      <c r="L13" s="31"/>
      <c r="M13" s="31"/>
      <c r="N13" s="38">
        <v>1</v>
      </c>
      <c r="O13" s="38">
        <v>330</v>
      </c>
      <c r="P13" s="38">
        <f>Table14[[#This Row],[14]]*Table14[[#This Row],[15]]</f>
        <v>330</v>
      </c>
      <c r="Q13" s="38" t="s">
        <v>77</v>
      </c>
      <c r="R13" s="38"/>
      <c r="S13" s="9"/>
    </row>
    <row r="14" spans="1:19" ht="60" x14ac:dyDescent="0.3">
      <c r="A14" s="7">
        <f>IF($C14&lt;&gt;"", SUBTOTAL(103,$C$6:C14), "")</f>
        <v>4</v>
      </c>
      <c r="B14" s="41">
        <v>4</v>
      </c>
      <c r="C14" s="25" t="s">
        <v>307</v>
      </c>
      <c r="D14" s="26"/>
      <c r="E14" s="26" t="s">
        <v>21</v>
      </c>
      <c r="F14" s="27" t="s">
        <v>98</v>
      </c>
      <c r="G14" s="27" t="s">
        <v>308</v>
      </c>
      <c r="H14" s="28">
        <v>44718</v>
      </c>
      <c r="I14" s="35" t="s">
        <v>309</v>
      </c>
      <c r="J14" s="28">
        <v>44743</v>
      </c>
      <c r="K14" s="28">
        <f t="shared" si="0"/>
        <v>46569</v>
      </c>
      <c r="L14" s="25" t="s">
        <v>310</v>
      </c>
      <c r="M14" s="25" t="s">
        <v>311</v>
      </c>
      <c r="N14" s="26">
        <v>2</v>
      </c>
      <c r="O14" s="26">
        <v>350</v>
      </c>
      <c r="P14" s="26">
        <f>Table14[[#This Row],[14]]*Table14[[#This Row],[15]]</f>
        <v>700</v>
      </c>
      <c r="Q14" s="26" t="s">
        <v>77</v>
      </c>
      <c r="R14" s="26" t="s">
        <v>103</v>
      </c>
      <c r="S14" s="9"/>
    </row>
    <row r="15" spans="1:19" ht="60" x14ac:dyDescent="0.3">
      <c r="A15" s="7" t="str">
        <f>IF($C15&lt;&gt;"", SUBTOTAL(103,$C$6:C15), "")</f>
        <v/>
      </c>
      <c r="B15" s="41">
        <f t="shared" si="1"/>
        <v>4</v>
      </c>
      <c r="C15" s="31"/>
      <c r="D15" s="38"/>
      <c r="E15" s="38"/>
      <c r="F15" s="32"/>
      <c r="G15" s="32"/>
      <c r="H15" s="39"/>
      <c r="I15" s="38"/>
      <c r="J15" s="39"/>
      <c r="K15" s="39" t="str">
        <f t="shared" si="0"/>
        <v/>
      </c>
      <c r="L15" s="31"/>
      <c r="M15" s="31" t="s">
        <v>312</v>
      </c>
      <c r="N15" s="38">
        <v>2</v>
      </c>
      <c r="O15" s="38">
        <v>350</v>
      </c>
      <c r="P15" s="38">
        <f>Table14[[#This Row],[14]]*Table14[[#This Row],[15]]</f>
        <v>700</v>
      </c>
      <c r="Q15" s="38" t="s">
        <v>77</v>
      </c>
      <c r="R15" s="38"/>
      <c r="S15" s="9"/>
    </row>
    <row r="16" spans="1:19" ht="105" x14ac:dyDescent="0.3">
      <c r="A16" s="7">
        <f>IF($C16&lt;&gt;"", SUBTOTAL(103,$C$6:C16), "")</f>
        <v>5</v>
      </c>
      <c r="B16" s="41">
        <v>5</v>
      </c>
      <c r="C16" s="25" t="s">
        <v>313</v>
      </c>
      <c r="D16" s="26"/>
      <c r="E16" s="26" t="s">
        <v>21</v>
      </c>
      <c r="F16" s="27" t="s">
        <v>314</v>
      </c>
      <c r="G16" s="27" t="s">
        <v>315</v>
      </c>
      <c r="H16" s="28">
        <v>44739</v>
      </c>
      <c r="I16" s="35" t="s">
        <v>316</v>
      </c>
      <c r="J16" s="28">
        <v>44753</v>
      </c>
      <c r="K16" s="28">
        <f t="shared" si="0"/>
        <v>46579</v>
      </c>
      <c r="L16" s="25" t="s">
        <v>317</v>
      </c>
      <c r="M16" s="25" t="s">
        <v>318</v>
      </c>
      <c r="N16" s="26">
        <v>1</v>
      </c>
      <c r="O16" s="26">
        <v>2500</v>
      </c>
      <c r="P16" s="26">
        <f>Table14[[#This Row],[14]]*Table14[[#This Row],[15]]</f>
        <v>2500</v>
      </c>
      <c r="Q16" s="26" t="s">
        <v>304</v>
      </c>
      <c r="R16" s="26" t="s">
        <v>103</v>
      </c>
      <c r="S16" s="9"/>
    </row>
    <row r="17" spans="1:19" x14ac:dyDescent="0.3">
      <c r="A17" s="7" t="str">
        <f>IF($C17&lt;&gt;"", SUBTOTAL(103,$C$6:C17), "")</f>
        <v/>
      </c>
      <c r="B17" s="41">
        <f t="shared" si="1"/>
        <v>5</v>
      </c>
      <c r="C17" s="36"/>
      <c r="D17" s="37"/>
      <c r="E17" s="37"/>
      <c r="F17" s="46"/>
      <c r="G17" s="46"/>
      <c r="H17" s="47"/>
      <c r="I17" s="37"/>
      <c r="J17" s="47"/>
      <c r="K17" s="47" t="str">
        <f t="shared" si="0"/>
        <v/>
      </c>
      <c r="L17" s="36"/>
      <c r="M17" s="36"/>
      <c r="N17" s="37">
        <v>2</v>
      </c>
      <c r="O17" s="37">
        <v>635</v>
      </c>
      <c r="P17" s="37">
        <f>Table14[[#This Row],[14]]*Table14[[#This Row],[15]]</f>
        <v>1270</v>
      </c>
      <c r="Q17" s="37" t="s">
        <v>77</v>
      </c>
      <c r="R17" s="37"/>
      <c r="S17" s="9"/>
    </row>
    <row r="18" spans="1:19" x14ac:dyDescent="0.3">
      <c r="A18" s="7" t="str">
        <f>IF($C18&lt;&gt;"", SUBTOTAL(103,$C$6:C18), "")</f>
        <v/>
      </c>
      <c r="B18" s="41">
        <f t="shared" si="1"/>
        <v>5</v>
      </c>
      <c r="C18" s="31"/>
      <c r="D18" s="38"/>
      <c r="E18" s="38"/>
      <c r="F18" s="51"/>
      <c r="G18" s="32"/>
      <c r="H18" s="39"/>
      <c r="I18" s="38"/>
      <c r="J18" s="39"/>
      <c r="K18" s="39" t="str">
        <f t="shared" si="0"/>
        <v/>
      </c>
      <c r="L18" s="31"/>
      <c r="M18" s="31"/>
      <c r="N18" s="38">
        <v>1</v>
      </c>
      <c r="O18" s="38">
        <v>250</v>
      </c>
      <c r="P18" s="38">
        <f>Table14[[#This Row],[14]]*Table14[[#This Row],[15]]</f>
        <v>250</v>
      </c>
      <c r="Q18" s="38" t="s">
        <v>77</v>
      </c>
      <c r="R18" s="38"/>
      <c r="S18" s="9"/>
    </row>
    <row r="19" spans="1:19" ht="60" x14ac:dyDescent="0.3">
      <c r="A19" s="7">
        <f>IF($C19&lt;&gt;"", SUBTOTAL(103,$C$6:C19), "")</f>
        <v>6</v>
      </c>
      <c r="B19" s="41">
        <v>6</v>
      </c>
      <c r="C19" s="25" t="s">
        <v>319</v>
      </c>
      <c r="D19" s="26"/>
      <c r="E19" s="26" t="s">
        <v>21</v>
      </c>
      <c r="F19" s="27" t="s">
        <v>320</v>
      </c>
      <c r="G19" s="27" t="s">
        <v>321</v>
      </c>
      <c r="H19" s="28">
        <v>44741</v>
      </c>
      <c r="I19" s="35" t="s">
        <v>322</v>
      </c>
      <c r="J19" s="28">
        <v>44775</v>
      </c>
      <c r="K19" s="28">
        <f t="shared" si="0"/>
        <v>46601</v>
      </c>
      <c r="L19" s="25" t="s">
        <v>323</v>
      </c>
      <c r="M19" s="25" t="s">
        <v>324</v>
      </c>
      <c r="N19" s="26">
        <v>1</v>
      </c>
      <c r="O19" s="26">
        <v>1000</v>
      </c>
      <c r="P19" s="26">
        <f>Table14[[#This Row],[14]]*Table14[[#This Row],[15]]</f>
        <v>1000</v>
      </c>
      <c r="Q19" s="26" t="s">
        <v>77</v>
      </c>
      <c r="R19" s="26" t="s">
        <v>325</v>
      </c>
      <c r="S19" s="9"/>
    </row>
    <row r="20" spans="1:19" x14ac:dyDescent="0.3">
      <c r="A20" s="7" t="str">
        <f>IF($C20&lt;&gt;"", SUBTOTAL(103,$C$6:C20), "")</f>
        <v/>
      </c>
      <c r="B20" s="41">
        <f t="shared" si="1"/>
        <v>6</v>
      </c>
      <c r="C20" s="36"/>
      <c r="D20" s="37"/>
      <c r="E20" s="37"/>
      <c r="F20" s="46"/>
      <c r="G20" s="46"/>
      <c r="H20" s="47"/>
      <c r="I20" s="37"/>
      <c r="J20" s="47"/>
      <c r="K20" s="47" t="str">
        <f t="shared" si="0"/>
        <v/>
      </c>
      <c r="L20" s="36"/>
      <c r="M20" s="36"/>
      <c r="N20" s="37">
        <v>1</v>
      </c>
      <c r="O20" s="37">
        <v>270</v>
      </c>
      <c r="P20" s="37">
        <f>Table14[[#This Row],[14]]*Table14[[#This Row],[15]]</f>
        <v>270</v>
      </c>
      <c r="Q20" s="37" t="s">
        <v>77</v>
      </c>
      <c r="R20" s="37"/>
      <c r="S20" s="9"/>
    </row>
    <row r="21" spans="1:19" x14ac:dyDescent="0.3">
      <c r="A21" s="7" t="str">
        <f>IF($C21&lt;&gt;"", SUBTOTAL(103,$C$6:C21), "")</f>
        <v/>
      </c>
      <c r="B21" s="41">
        <f t="shared" si="1"/>
        <v>6</v>
      </c>
      <c r="C21" s="36"/>
      <c r="D21" s="37"/>
      <c r="E21" s="37"/>
      <c r="F21" s="46"/>
      <c r="G21" s="46"/>
      <c r="H21" s="47"/>
      <c r="I21" s="37"/>
      <c r="J21" s="47"/>
      <c r="K21" s="47" t="str">
        <f t="shared" si="0"/>
        <v/>
      </c>
      <c r="L21" s="36"/>
      <c r="M21" s="36"/>
      <c r="N21" s="37">
        <v>1</v>
      </c>
      <c r="O21" s="37">
        <v>300</v>
      </c>
      <c r="P21" s="37">
        <f>Table14[[#This Row],[14]]*Table14[[#This Row],[15]]</f>
        <v>300</v>
      </c>
      <c r="Q21" s="37" t="s">
        <v>77</v>
      </c>
      <c r="R21" s="37"/>
      <c r="S21" s="9"/>
    </row>
    <row r="22" spans="1:19" ht="30" x14ac:dyDescent="0.3">
      <c r="A22" s="7" t="str">
        <f>IF($C22&lt;&gt;"", SUBTOTAL(103,$C$6:C22), "")</f>
        <v/>
      </c>
      <c r="B22" s="41">
        <f t="shared" si="1"/>
        <v>6</v>
      </c>
      <c r="C22" s="36"/>
      <c r="D22" s="37"/>
      <c r="E22" s="37"/>
      <c r="F22" s="49"/>
      <c r="G22" s="46"/>
      <c r="H22" s="47"/>
      <c r="I22" s="37"/>
      <c r="J22" s="47"/>
      <c r="K22" s="112" t="str">
        <f t="shared" si="0"/>
        <v/>
      </c>
      <c r="L22" s="36"/>
      <c r="M22" s="36" t="s">
        <v>326</v>
      </c>
      <c r="N22" s="37">
        <v>1</v>
      </c>
      <c r="O22" s="37">
        <v>110</v>
      </c>
      <c r="P22" s="37">
        <f>Table14[[#This Row],[14]]*Table14[[#This Row],[15]]</f>
        <v>110</v>
      </c>
      <c r="Q22" s="37" t="s">
        <v>77</v>
      </c>
      <c r="R22" s="37"/>
      <c r="S22" s="9"/>
    </row>
    <row r="23" spans="1:19" x14ac:dyDescent="0.3">
      <c r="A23" s="7" t="str">
        <f>IF($C23&lt;&gt;"", SUBTOTAL(103,$C$6:C23), "")</f>
        <v/>
      </c>
      <c r="B23" s="41">
        <f t="shared" si="1"/>
        <v>6</v>
      </c>
      <c r="C23" s="36"/>
      <c r="D23" s="37"/>
      <c r="E23" s="37"/>
      <c r="F23" s="49"/>
      <c r="G23" s="46"/>
      <c r="H23" s="47"/>
      <c r="I23" s="37"/>
      <c r="J23" s="47"/>
      <c r="K23" s="112" t="str">
        <f t="shared" si="0"/>
        <v/>
      </c>
      <c r="L23" s="36"/>
      <c r="M23" s="36"/>
      <c r="N23" s="37">
        <v>1</v>
      </c>
      <c r="O23" s="37">
        <v>500</v>
      </c>
      <c r="P23" s="37">
        <f>Table14[[#This Row],[14]]*Table14[[#This Row],[15]]</f>
        <v>500</v>
      </c>
      <c r="Q23" s="37" t="s">
        <v>77</v>
      </c>
      <c r="R23" s="37"/>
      <c r="S23" s="9"/>
    </row>
    <row r="24" spans="1:19" ht="30" x14ac:dyDescent="0.3">
      <c r="A24" s="7" t="str">
        <f>IF($C24&lt;&gt;"", SUBTOTAL(103,$C$6:C24), "")</f>
        <v/>
      </c>
      <c r="B24" s="41">
        <f t="shared" si="1"/>
        <v>6</v>
      </c>
      <c r="C24" s="31"/>
      <c r="D24" s="60"/>
      <c r="E24" s="38"/>
      <c r="F24" s="113"/>
      <c r="G24" s="32"/>
      <c r="H24" s="39"/>
      <c r="I24" s="32"/>
      <c r="J24" s="51"/>
      <c r="K24" s="39" t="str">
        <f t="shared" si="0"/>
        <v/>
      </c>
      <c r="L24" s="31"/>
      <c r="M24" s="31" t="s">
        <v>327</v>
      </c>
      <c r="N24" s="32">
        <v>1</v>
      </c>
      <c r="O24" s="32">
        <v>500</v>
      </c>
      <c r="P24" s="32">
        <f>Table14[[#This Row],[14]]*Table14[[#This Row],[15]]</f>
        <v>500</v>
      </c>
      <c r="Q24" s="38" t="s">
        <v>77</v>
      </c>
      <c r="R24" s="38"/>
      <c r="S24" s="9"/>
    </row>
    <row r="25" spans="1:19" ht="60" x14ac:dyDescent="0.3">
      <c r="A25" s="7">
        <f>IF($C25&lt;&gt;"", SUBTOTAL(103,$C$6:C25), "")</f>
        <v>7</v>
      </c>
      <c r="B25" s="41">
        <v>7</v>
      </c>
      <c r="C25" s="25" t="s">
        <v>319</v>
      </c>
      <c r="D25" s="59"/>
      <c r="E25" s="26" t="s">
        <v>21</v>
      </c>
      <c r="F25" s="93" t="s">
        <v>329</v>
      </c>
      <c r="G25" s="27" t="s">
        <v>330</v>
      </c>
      <c r="H25" s="28">
        <v>44767</v>
      </c>
      <c r="I25" s="45" t="s">
        <v>331</v>
      </c>
      <c r="J25" s="30">
        <v>44775</v>
      </c>
      <c r="K25" s="28">
        <f t="shared" si="0"/>
        <v>46601</v>
      </c>
      <c r="L25" s="25" t="s">
        <v>323</v>
      </c>
      <c r="M25" s="25" t="s">
        <v>336</v>
      </c>
      <c r="N25" s="27">
        <v>5</v>
      </c>
      <c r="O25" s="27">
        <v>250</v>
      </c>
      <c r="P25" s="27" t="str">
        <f>Table14[[#This Row],[14]]*Table14[[#This Row],[15]]&amp;" kW"</f>
        <v>1250 kW</v>
      </c>
      <c r="Q25" s="27" t="s">
        <v>337</v>
      </c>
      <c r="R25" s="26" t="s">
        <v>338</v>
      </c>
      <c r="S25" s="9"/>
    </row>
    <row r="26" spans="1:19" x14ac:dyDescent="0.3">
      <c r="A26" s="7" t="str">
        <f>IF($C26&lt;&gt;"", SUBTOTAL(103,$C$6:C26), "")</f>
        <v/>
      </c>
      <c r="B26" s="41">
        <f t="shared" si="1"/>
        <v>7</v>
      </c>
      <c r="C26" s="31"/>
      <c r="D26" s="38"/>
      <c r="E26" s="38"/>
      <c r="F26" s="32"/>
      <c r="G26" s="32"/>
      <c r="H26" s="39"/>
      <c r="I26" s="32"/>
      <c r="J26" s="51"/>
      <c r="K26" s="39" t="str">
        <f t="shared" si="0"/>
        <v/>
      </c>
      <c r="L26" s="31"/>
      <c r="M26" s="31"/>
      <c r="N26" s="32">
        <v>2800</v>
      </c>
      <c r="O26" s="32">
        <v>0.46</v>
      </c>
      <c r="P26" s="32">
        <f>Table14[[#This Row],[14]]*Table14[[#This Row],[15]]</f>
        <v>1288</v>
      </c>
      <c r="Q26" s="32" t="s">
        <v>337</v>
      </c>
      <c r="R26" s="38"/>
      <c r="S26" s="8"/>
    </row>
    <row r="27" spans="1:19" ht="60" x14ac:dyDescent="0.3">
      <c r="A27" s="7">
        <f>IF($C27&lt;&gt;"", SUBTOTAL(103,$C$6:C27), "")</f>
        <v>8</v>
      </c>
      <c r="B27" s="41">
        <v>8</v>
      </c>
      <c r="C27" s="25" t="s">
        <v>328</v>
      </c>
      <c r="D27" s="26"/>
      <c r="E27" s="26" t="s">
        <v>21</v>
      </c>
      <c r="F27" s="30" t="s">
        <v>332</v>
      </c>
      <c r="G27" s="27" t="s">
        <v>333</v>
      </c>
      <c r="H27" s="28">
        <v>44771</v>
      </c>
      <c r="I27" s="35" t="s">
        <v>334</v>
      </c>
      <c r="J27" s="28">
        <v>44791</v>
      </c>
      <c r="K27" s="28">
        <f t="shared" si="0"/>
        <v>46617</v>
      </c>
      <c r="L27" s="25" t="s">
        <v>335</v>
      </c>
      <c r="M27" s="25"/>
      <c r="N27" s="26">
        <v>5</v>
      </c>
      <c r="O27" s="26">
        <v>500</v>
      </c>
      <c r="P27" s="26">
        <f>Table14[[#This Row],[14]]*Table14[[#This Row],[15]]</f>
        <v>2500</v>
      </c>
      <c r="Q27" s="26" t="s">
        <v>77</v>
      </c>
      <c r="R27" s="26" t="s">
        <v>136</v>
      </c>
      <c r="S27" s="9"/>
    </row>
    <row r="28" spans="1:19" x14ac:dyDescent="0.3">
      <c r="A28" s="7" t="str">
        <f>IF($C28&lt;&gt;"", SUBTOTAL(103,$C$6:C28), "")</f>
        <v/>
      </c>
      <c r="B28" s="41">
        <f t="shared" si="1"/>
        <v>8</v>
      </c>
      <c r="C28" s="31"/>
      <c r="D28" s="38"/>
      <c r="E28" s="38"/>
      <c r="F28" s="32"/>
      <c r="G28" s="32"/>
      <c r="H28" s="39"/>
      <c r="I28" s="38"/>
      <c r="J28" s="39"/>
      <c r="K28" s="39" t="str">
        <f t="shared" si="0"/>
        <v/>
      </c>
      <c r="L28" s="31"/>
      <c r="M28" s="31"/>
      <c r="N28" s="38">
        <v>3</v>
      </c>
      <c r="O28" s="38">
        <v>380</v>
      </c>
      <c r="P28" s="38">
        <f>Table14[[#This Row],[14]]*Table14[[#This Row],[15]]</f>
        <v>1140</v>
      </c>
      <c r="Q28" s="38" t="s">
        <v>77</v>
      </c>
      <c r="R28" s="38" t="s">
        <v>136</v>
      </c>
      <c r="S28" s="9"/>
    </row>
    <row r="29" spans="1:19" ht="60" x14ac:dyDescent="0.3">
      <c r="A29" s="7">
        <f>IF($C29&lt;&gt;"", SUBTOTAL(103,$C$6:C29), "")</f>
        <v>9</v>
      </c>
      <c r="B29" s="41">
        <v>9</v>
      </c>
      <c r="C29" s="25" t="s">
        <v>339</v>
      </c>
      <c r="D29" s="59"/>
      <c r="E29" s="26" t="s">
        <v>21</v>
      </c>
      <c r="F29" s="27" t="s">
        <v>340</v>
      </c>
      <c r="G29" s="27" t="s">
        <v>341</v>
      </c>
      <c r="H29" s="28">
        <v>44862</v>
      </c>
      <c r="I29" s="45" t="s">
        <v>342</v>
      </c>
      <c r="J29" s="30">
        <v>44876</v>
      </c>
      <c r="K29" s="28">
        <f t="shared" si="0"/>
        <v>46702</v>
      </c>
      <c r="L29" s="114" t="s">
        <v>343</v>
      </c>
      <c r="M29" s="115" t="s">
        <v>345</v>
      </c>
      <c r="N29" s="116">
        <v>2</v>
      </c>
      <c r="O29" s="116">
        <v>550</v>
      </c>
      <c r="P29" s="116">
        <f>Table14[[#This Row],[14]]*Table14[[#This Row],[15]]</f>
        <v>1100</v>
      </c>
      <c r="Q29" s="116" t="s">
        <v>77</v>
      </c>
      <c r="R29" s="117" t="s">
        <v>136</v>
      </c>
      <c r="S29" s="9" t="s">
        <v>350</v>
      </c>
    </row>
    <row r="30" spans="1:19" ht="30" x14ac:dyDescent="0.3">
      <c r="A30" s="7" t="str">
        <f>IF($C30&lt;&gt;"", SUBTOTAL(103,$C$6:C30), "")</f>
        <v/>
      </c>
      <c r="B30" s="41">
        <f t="shared" si="1"/>
        <v>9</v>
      </c>
      <c r="C30" s="36"/>
      <c r="D30" s="61"/>
      <c r="E30" s="37"/>
      <c r="F30" s="46"/>
      <c r="G30" s="46"/>
      <c r="H30" s="47"/>
      <c r="I30" s="46"/>
      <c r="J30" s="49"/>
      <c r="K30" s="47" t="str">
        <f t="shared" si="0"/>
        <v/>
      </c>
      <c r="L30" s="103"/>
      <c r="M30" s="104" t="s">
        <v>346</v>
      </c>
      <c r="N30" s="105">
        <v>2</v>
      </c>
      <c r="O30" s="105">
        <v>380</v>
      </c>
      <c r="P30" s="105">
        <f>Table14[[#This Row],[14]]*Table14[[#This Row],[15]]</f>
        <v>760</v>
      </c>
      <c r="Q30" s="105" t="s">
        <v>77</v>
      </c>
      <c r="R30" s="106" t="s">
        <v>136</v>
      </c>
      <c r="S30" s="9"/>
    </row>
    <row r="31" spans="1:19" ht="30" x14ac:dyDescent="0.3">
      <c r="A31" s="7" t="str">
        <f>IF($C31&lt;&gt;"", SUBTOTAL(103,$C$6:C31), "")</f>
        <v/>
      </c>
      <c r="B31" s="41">
        <f t="shared" si="1"/>
        <v>9</v>
      </c>
      <c r="C31" s="36"/>
      <c r="D31" s="61"/>
      <c r="E31" s="37"/>
      <c r="F31" s="46"/>
      <c r="G31" s="46"/>
      <c r="H31" s="47"/>
      <c r="I31" s="46"/>
      <c r="J31" s="49"/>
      <c r="K31" s="47" t="str">
        <f t="shared" si="0"/>
        <v/>
      </c>
      <c r="L31" s="103"/>
      <c r="M31" s="104" t="s">
        <v>347</v>
      </c>
      <c r="N31" s="105">
        <v>2</v>
      </c>
      <c r="O31" s="105">
        <v>500</v>
      </c>
      <c r="P31" s="105">
        <f>Table14[[#This Row],[14]]*Table14[[#This Row],[15]]</f>
        <v>1000</v>
      </c>
      <c r="Q31" s="105" t="s">
        <v>77</v>
      </c>
      <c r="R31" s="106" t="s">
        <v>136</v>
      </c>
      <c r="S31" s="9"/>
    </row>
    <row r="32" spans="1:19" x14ac:dyDescent="0.3">
      <c r="A32" s="7" t="str">
        <f>IF($C32&lt;&gt;"", SUBTOTAL(103,$C$6:C32), "")</f>
        <v/>
      </c>
      <c r="B32" s="41">
        <f t="shared" si="1"/>
        <v>9</v>
      </c>
      <c r="C32" s="36"/>
      <c r="D32" s="61"/>
      <c r="E32" s="37"/>
      <c r="F32" s="46"/>
      <c r="G32" s="46"/>
      <c r="H32" s="47"/>
      <c r="I32" s="46"/>
      <c r="J32" s="49"/>
      <c r="K32" s="47" t="str">
        <f t="shared" si="0"/>
        <v/>
      </c>
      <c r="L32" s="103"/>
      <c r="M32" s="104"/>
      <c r="N32" s="105">
        <v>1</v>
      </c>
      <c r="O32" s="105">
        <v>550</v>
      </c>
      <c r="P32" s="105">
        <f>Table14[[#This Row],[14]]*Table14[[#This Row],[15]]</f>
        <v>550</v>
      </c>
      <c r="Q32" s="105" t="s">
        <v>77</v>
      </c>
      <c r="R32" s="106" t="s">
        <v>136</v>
      </c>
      <c r="S32" s="9"/>
    </row>
    <row r="33" spans="1:19" ht="30" x14ac:dyDescent="0.3">
      <c r="A33" s="7" t="str">
        <f>IF($C33&lt;&gt;"", SUBTOTAL(103,$C$6:C33), "")</f>
        <v/>
      </c>
      <c r="B33" s="41">
        <f t="shared" si="1"/>
        <v>9</v>
      </c>
      <c r="C33" s="36"/>
      <c r="D33" s="61"/>
      <c r="E33" s="37"/>
      <c r="F33" s="46"/>
      <c r="G33" s="46"/>
      <c r="H33" s="47"/>
      <c r="I33" s="46"/>
      <c r="J33" s="49"/>
      <c r="K33" s="47" t="str">
        <f t="shared" si="0"/>
        <v/>
      </c>
      <c r="L33" s="103"/>
      <c r="M33" s="104" t="s">
        <v>348</v>
      </c>
      <c r="N33" s="105">
        <v>1</v>
      </c>
      <c r="O33" s="105">
        <v>500</v>
      </c>
      <c r="P33" s="105">
        <f>Table14[[#This Row],[14]]*Table14[[#This Row],[15]]</f>
        <v>500</v>
      </c>
      <c r="Q33" s="105" t="s">
        <v>77</v>
      </c>
      <c r="R33" s="106" t="s">
        <v>136</v>
      </c>
      <c r="S33" s="9"/>
    </row>
    <row r="34" spans="1:19" x14ac:dyDescent="0.3">
      <c r="A34" s="7" t="str">
        <f>IF($C34&lt;&gt;"", SUBTOTAL(103,$C$6:C34), "")</f>
        <v/>
      </c>
      <c r="B34" s="41">
        <f t="shared" si="1"/>
        <v>9</v>
      </c>
      <c r="C34" s="36"/>
      <c r="D34" s="61"/>
      <c r="E34" s="37"/>
      <c r="F34" s="46"/>
      <c r="G34" s="46"/>
      <c r="H34" s="47"/>
      <c r="I34" s="46"/>
      <c r="J34" s="49"/>
      <c r="K34" s="47" t="str">
        <f t="shared" si="0"/>
        <v/>
      </c>
      <c r="L34" s="103"/>
      <c r="M34" s="104"/>
      <c r="N34" s="105">
        <v>2</v>
      </c>
      <c r="O34" s="105">
        <v>380</v>
      </c>
      <c r="P34" s="105">
        <f>Table14[[#This Row],[14]]*Table14[[#This Row],[15]]</f>
        <v>760</v>
      </c>
      <c r="Q34" s="105" t="s">
        <v>77</v>
      </c>
      <c r="R34" s="106" t="s">
        <v>136</v>
      </c>
      <c r="S34" s="9"/>
    </row>
    <row r="35" spans="1:19" ht="60" x14ac:dyDescent="0.3">
      <c r="A35" s="7" t="str">
        <f>IF($C35&lt;&gt;"", SUBTOTAL(103,$C$6:C35), "")</f>
        <v/>
      </c>
      <c r="B35" s="41">
        <f t="shared" si="1"/>
        <v>9</v>
      </c>
      <c r="C35" s="36"/>
      <c r="D35" s="61"/>
      <c r="E35" s="37"/>
      <c r="F35" s="46"/>
      <c r="G35" s="46"/>
      <c r="H35" s="47"/>
      <c r="I35" s="46"/>
      <c r="J35" s="49"/>
      <c r="K35" s="47" t="str">
        <f t="shared" si="0"/>
        <v/>
      </c>
      <c r="L35" s="52" t="s">
        <v>344</v>
      </c>
      <c r="M35" s="36" t="s">
        <v>349</v>
      </c>
      <c r="N35" s="46">
        <v>1</v>
      </c>
      <c r="O35" s="46">
        <v>500</v>
      </c>
      <c r="P35" s="46">
        <f>Table14[[#This Row],[14]]*Table14[[#This Row],[15]]</f>
        <v>500</v>
      </c>
      <c r="Q35" s="46" t="s">
        <v>77</v>
      </c>
      <c r="R35" s="37" t="s">
        <v>136</v>
      </c>
      <c r="S35" s="9"/>
    </row>
    <row r="36" spans="1:19" x14ac:dyDescent="0.3">
      <c r="A36" s="7" t="str">
        <f>IF($C36&lt;&gt;"", SUBTOTAL(103,$C$6:C36), "")</f>
        <v/>
      </c>
      <c r="B36" s="41">
        <f t="shared" si="1"/>
        <v>9</v>
      </c>
      <c r="C36" s="31"/>
      <c r="D36" s="60"/>
      <c r="E36" s="38"/>
      <c r="F36" s="32"/>
      <c r="G36" s="32"/>
      <c r="H36" s="39"/>
      <c r="I36" s="32"/>
      <c r="J36" s="51"/>
      <c r="K36" s="39" t="str">
        <f t="shared" si="0"/>
        <v/>
      </c>
      <c r="L36" s="53"/>
      <c r="M36" s="31"/>
      <c r="N36" s="32">
        <v>1</v>
      </c>
      <c r="O36" s="32">
        <v>380</v>
      </c>
      <c r="P36" s="32">
        <f>Table14[[#This Row],[14]]*Table14[[#This Row],[15]]</f>
        <v>380</v>
      </c>
      <c r="Q36" s="32" t="s">
        <v>77</v>
      </c>
      <c r="R36" s="38" t="s">
        <v>136</v>
      </c>
      <c r="S36" s="9"/>
    </row>
    <row r="37" spans="1:19" ht="90" x14ac:dyDescent="0.3">
      <c r="A37" s="7">
        <f>IF($C37&lt;&gt;"", SUBTOTAL(103,$C$6:C37), "")</f>
        <v>10</v>
      </c>
      <c r="B37" s="41">
        <v>10</v>
      </c>
      <c r="C37" s="25" t="s">
        <v>351</v>
      </c>
      <c r="D37" s="59"/>
      <c r="E37" s="26" t="s">
        <v>21</v>
      </c>
      <c r="F37" s="27" t="s">
        <v>352</v>
      </c>
      <c r="G37" s="27" t="s">
        <v>353</v>
      </c>
      <c r="H37" s="28">
        <v>44874</v>
      </c>
      <c r="I37" s="45" t="s">
        <v>354</v>
      </c>
      <c r="J37" s="30">
        <v>44879</v>
      </c>
      <c r="K37" s="28">
        <f t="shared" ref="K37:K47" si="2">IF($E37="IUPTLS",IF(ISBLANK(J37), " ", DATE(YEAR(J37)+5,MONTH(J37),DAY(J37))),IF($E37="SKTP","",""))</f>
        <v>46705</v>
      </c>
      <c r="L37" s="25" t="s">
        <v>355</v>
      </c>
      <c r="M37" s="25" t="s">
        <v>356</v>
      </c>
      <c r="N37" s="27">
        <v>2</v>
      </c>
      <c r="O37" s="27">
        <v>30</v>
      </c>
      <c r="P37" s="27">
        <f>Table14[[#This Row],[14]]*Table14[[#This Row],[15]]</f>
        <v>60</v>
      </c>
      <c r="Q37" s="27" t="s">
        <v>77</v>
      </c>
      <c r="R37" s="26" t="s">
        <v>136</v>
      </c>
      <c r="S37" s="9"/>
    </row>
    <row r="38" spans="1:19" ht="30" x14ac:dyDescent="0.3">
      <c r="A38" s="7" t="str">
        <f>IF($C38&lt;&gt;"", SUBTOTAL(103,$C$6:C38), "")</f>
        <v/>
      </c>
      <c r="B38" s="41">
        <f t="shared" si="1"/>
        <v>10</v>
      </c>
      <c r="C38" s="36"/>
      <c r="D38" s="61"/>
      <c r="E38" s="37"/>
      <c r="F38" s="46"/>
      <c r="G38" s="46"/>
      <c r="H38" s="47"/>
      <c r="I38" s="46"/>
      <c r="J38" s="49"/>
      <c r="K38" s="47" t="str">
        <f t="shared" si="2"/>
        <v/>
      </c>
      <c r="L38" s="52"/>
      <c r="M38" s="36" t="s">
        <v>357</v>
      </c>
      <c r="N38" s="46">
        <v>1</v>
      </c>
      <c r="O38" s="46">
        <v>3200</v>
      </c>
      <c r="P38" s="46">
        <f>Table14[[#This Row],[14]]*Table14[[#This Row],[15]]</f>
        <v>3200</v>
      </c>
      <c r="Q38" s="46" t="s">
        <v>304</v>
      </c>
      <c r="R38" s="37" t="s">
        <v>136</v>
      </c>
      <c r="S38" s="23"/>
    </row>
    <row r="39" spans="1:19" x14ac:dyDescent="0.3">
      <c r="A39" s="7" t="str">
        <f>IF($C39&lt;&gt;"", SUBTOTAL(103,$C$6:C39), "")</f>
        <v/>
      </c>
      <c r="B39" s="41">
        <f t="shared" si="1"/>
        <v>10</v>
      </c>
      <c r="C39" s="36"/>
      <c r="D39" s="37"/>
      <c r="E39" s="37"/>
      <c r="F39" s="46"/>
      <c r="G39" s="46"/>
      <c r="H39" s="47"/>
      <c r="I39" s="37"/>
      <c r="J39" s="47"/>
      <c r="K39" s="47" t="str">
        <f t="shared" si="2"/>
        <v/>
      </c>
      <c r="L39" s="36"/>
      <c r="M39" s="36"/>
      <c r="N39" s="46">
        <v>2</v>
      </c>
      <c r="O39" s="46">
        <v>670</v>
      </c>
      <c r="P39" s="46">
        <f>Table14[[#This Row],[14]]*Table14[[#This Row],[15]]</f>
        <v>1340</v>
      </c>
      <c r="Q39" s="46" t="s">
        <v>77</v>
      </c>
      <c r="R39" s="37" t="s">
        <v>136</v>
      </c>
      <c r="S39" s="9"/>
    </row>
    <row r="40" spans="1:19" x14ac:dyDescent="0.3">
      <c r="A40" s="7" t="str">
        <f>IF($C40&lt;&gt;"", SUBTOTAL(103,$C$6:C40), "")</f>
        <v/>
      </c>
      <c r="B40" s="41">
        <f t="shared" si="1"/>
        <v>10</v>
      </c>
      <c r="C40" s="31"/>
      <c r="D40" s="38"/>
      <c r="E40" s="38"/>
      <c r="F40" s="32"/>
      <c r="G40" s="32"/>
      <c r="H40" s="39"/>
      <c r="I40" s="38"/>
      <c r="J40" s="39"/>
      <c r="K40" s="39" t="str">
        <f t="shared" si="2"/>
        <v/>
      </c>
      <c r="L40" s="31"/>
      <c r="M40" s="31"/>
      <c r="N40" s="32">
        <v>1</v>
      </c>
      <c r="O40" s="32">
        <v>400</v>
      </c>
      <c r="P40" s="32">
        <f>Table14[[#This Row],[14]]*Table14[[#This Row],[15]]</f>
        <v>400</v>
      </c>
      <c r="Q40" s="32" t="s">
        <v>77</v>
      </c>
      <c r="R40" s="38" t="s">
        <v>136</v>
      </c>
      <c r="S40" s="50"/>
    </row>
    <row r="41" spans="1:19" ht="60" x14ac:dyDescent="0.3">
      <c r="A41" s="7">
        <f>IF($C41&lt;&gt;"", SUBTOTAL(103,$C$6:C41), "")</f>
        <v>11</v>
      </c>
      <c r="B41" s="41">
        <v>11</v>
      </c>
      <c r="C41" s="25" t="s">
        <v>358</v>
      </c>
      <c r="D41" s="26"/>
      <c r="E41" s="26" t="s">
        <v>21</v>
      </c>
      <c r="F41" s="30" t="s">
        <v>359</v>
      </c>
      <c r="G41" s="27" t="s">
        <v>360</v>
      </c>
      <c r="H41" s="28">
        <v>44874</v>
      </c>
      <c r="I41" s="35" t="s">
        <v>361</v>
      </c>
      <c r="J41" s="28">
        <v>44879</v>
      </c>
      <c r="K41" s="28">
        <f t="shared" si="2"/>
        <v>46705</v>
      </c>
      <c r="L41" s="25" t="s">
        <v>362</v>
      </c>
      <c r="M41" s="25" t="s">
        <v>363</v>
      </c>
      <c r="N41" s="26">
        <v>2</v>
      </c>
      <c r="O41" s="26">
        <v>380</v>
      </c>
      <c r="P41" s="26">
        <f>Table14[[#This Row],[14]]*Table14[[#This Row],[15]]</f>
        <v>760</v>
      </c>
      <c r="Q41" s="27" t="s">
        <v>77</v>
      </c>
      <c r="R41" s="26" t="s">
        <v>325</v>
      </c>
      <c r="S41" s="9"/>
    </row>
    <row r="42" spans="1:19" x14ac:dyDescent="0.3">
      <c r="A42" s="7" t="str">
        <f>IF($C42&lt;&gt;"", SUBTOTAL(103,$C$6:C42), "")</f>
        <v/>
      </c>
      <c r="B42" s="41">
        <f t="shared" si="1"/>
        <v>11</v>
      </c>
      <c r="C42" s="31"/>
      <c r="D42" s="60"/>
      <c r="E42" s="38"/>
      <c r="F42" s="32"/>
      <c r="G42" s="32"/>
      <c r="H42" s="39"/>
      <c r="I42" s="32"/>
      <c r="J42" s="51"/>
      <c r="K42" s="39" t="str">
        <f t="shared" si="2"/>
        <v/>
      </c>
      <c r="L42" s="53"/>
      <c r="M42" s="31"/>
      <c r="N42" s="32">
        <v>2</v>
      </c>
      <c r="O42" s="32">
        <v>500</v>
      </c>
      <c r="P42" s="32">
        <f>Table14[[#This Row],[14]]*Table14[[#This Row],[15]]</f>
        <v>1000</v>
      </c>
      <c r="Q42" s="32" t="s">
        <v>77</v>
      </c>
      <c r="R42" s="38"/>
      <c r="S42" s="9"/>
    </row>
    <row r="43" spans="1:19" ht="60" x14ac:dyDescent="0.3">
      <c r="A43" s="7">
        <f>IF($C43&lt;&gt;"", SUBTOTAL(103,$C$6:C43), "")</f>
        <v>12</v>
      </c>
      <c r="B43" s="41">
        <v>12</v>
      </c>
      <c r="C43" s="25" t="s">
        <v>364</v>
      </c>
      <c r="D43" s="59"/>
      <c r="E43" s="26" t="s">
        <v>21</v>
      </c>
      <c r="F43" s="27" t="s">
        <v>365</v>
      </c>
      <c r="G43" s="27" t="s">
        <v>366</v>
      </c>
      <c r="H43" s="28">
        <v>44889</v>
      </c>
      <c r="I43" s="45" t="s">
        <v>367</v>
      </c>
      <c r="J43" s="30">
        <v>44895</v>
      </c>
      <c r="K43" s="28">
        <f t="shared" si="2"/>
        <v>46721</v>
      </c>
      <c r="L43" s="88" t="s">
        <v>368</v>
      </c>
      <c r="M43" s="25" t="s">
        <v>369</v>
      </c>
      <c r="N43" s="27">
        <v>1</v>
      </c>
      <c r="O43" s="27">
        <v>2500</v>
      </c>
      <c r="P43" s="27">
        <f>Table14[[#This Row],[14]]*Table14[[#This Row],[15]]</f>
        <v>2500</v>
      </c>
      <c r="Q43" s="27" t="s">
        <v>304</v>
      </c>
      <c r="R43" s="26" t="s">
        <v>103</v>
      </c>
      <c r="S43" s="9"/>
    </row>
    <row r="44" spans="1:19" x14ac:dyDescent="0.3">
      <c r="A44" s="7" t="str">
        <f>IF($C44&lt;&gt;"", SUBTOTAL(103,$C$6:C44), "")</f>
        <v/>
      </c>
      <c r="B44" s="41">
        <f t="shared" si="1"/>
        <v>12</v>
      </c>
      <c r="C44" s="36"/>
      <c r="D44" s="37"/>
      <c r="E44" s="37"/>
      <c r="F44" s="46"/>
      <c r="G44" s="46"/>
      <c r="H44" s="47"/>
      <c r="I44" s="37"/>
      <c r="J44" s="47"/>
      <c r="K44" s="47" t="str">
        <f t="shared" si="2"/>
        <v/>
      </c>
      <c r="L44" s="36"/>
      <c r="M44" s="36"/>
      <c r="N44" s="46">
        <v>1</v>
      </c>
      <c r="O44" s="46">
        <v>3125</v>
      </c>
      <c r="P44" s="46">
        <f>Table14[[#This Row],[14]]*Table14[[#This Row],[15]]</f>
        <v>3125</v>
      </c>
      <c r="Q44" s="46" t="s">
        <v>304</v>
      </c>
      <c r="R44" s="37"/>
      <c r="S44" s="9"/>
    </row>
    <row r="45" spans="1:19" x14ac:dyDescent="0.3">
      <c r="A45" s="7" t="str">
        <f>IF($C45&lt;&gt;"", SUBTOTAL(103,$C$6:C45), "")</f>
        <v/>
      </c>
      <c r="B45" s="41">
        <f t="shared" si="1"/>
        <v>12</v>
      </c>
      <c r="C45" s="36"/>
      <c r="D45" s="37"/>
      <c r="E45" s="37"/>
      <c r="F45" s="49"/>
      <c r="G45" s="46"/>
      <c r="H45" s="47"/>
      <c r="I45" s="37"/>
      <c r="J45" s="47"/>
      <c r="K45" s="47" t="str">
        <f t="shared" si="2"/>
        <v/>
      </c>
      <c r="L45" s="36"/>
      <c r="M45" s="36"/>
      <c r="N45" s="37">
        <v>1</v>
      </c>
      <c r="O45" s="37">
        <v>3800</v>
      </c>
      <c r="P45" s="37">
        <f>Table14[[#This Row],[14]]*Table14[[#This Row],[15]]</f>
        <v>3800</v>
      </c>
      <c r="Q45" s="46" t="s">
        <v>304</v>
      </c>
      <c r="R45" s="37"/>
      <c r="S45" s="9"/>
    </row>
    <row r="46" spans="1:19" x14ac:dyDescent="0.3">
      <c r="A46" s="7" t="str">
        <f>IF($C46&lt;&gt;"", SUBTOTAL(103,$C$6:C46), "")</f>
        <v/>
      </c>
      <c r="B46" s="41">
        <f t="shared" si="1"/>
        <v>12</v>
      </c>
      <c r="C46" s="36"/>
      <c r="D46" s="37"/>
      <c r="E46" s="37"/>
      <c r="F46" s="49"/>
      <c r="G46" s="46"/>
      <c r="H46" s="47"/>
      <c r="I46" s="37"/>
      <c r="J46" s="47"/>
      <c r="K46" s="47" t="str">
        <f t="shared" si="2"/>
        <v/>
      </c>
      <c r="L46" s="36"/>
      <c r="M46" s="36"/>
      <c r="N46" s="37">
        <v>2</v>
      </c>
      <c r="O46" s="37">
        <v>500</v>
      </c>
      <c r="P46" s="37">
        <f>Table14[[#This Row],[14]]*Table14[[#This Row],[15]]</f>
        <v>1000</v>
      </c>
      <c r="Q46" s="46" t="s">
        <v>77</v>
      </c>
      <c r="R46" s="37"/>
      <c r="S46" s="9"/>
    </row>
    <row r="47" spans="1:19" x14ac:dyDescent="0.3">
      <c r="A47" s="7" t="str">
        <f>IF($C47&lt;&gt;"", SUBTOTAL(103,$C$6:C47), "")</f>
        <v/>
      </c>
      <c r="B47" s="41">
        <f t="shared" si="1"/>
        <v>12</v>
      </c>
      <c r="C47" s="31"/>
      <c r="D47" s="60"/>
      <c r="E47" s="38"/>
      <c r="F47" s="32"/>
      <c r="G47" s="32"/>
      <c r="H47" s="39"/>
      <c r="I47" s="32"/>
      <c r="J47" s="51"/>
      <c r="K47" s="39" t="str">
        <f t="shared" si="2"/>
        <v/>
      </c>
      <c r="L47" s="53"/>
      <c r="M47" s="31"/>
      <c r="N47" s="32">
        <v>1</v>
      </c>
      <c r="O47" s="32">
        <v>875</v>
      </c>
      <c r="P47" s="32">
        <f>Table14[[#This Row],[14]]*Table14[[#This Row],[15]]</f>
        <v>875</v>
      </c>
      <c r="Q47" s="32" t="s">
        <v>77</v>
      </c>
      <c r="R47" s="38"/>
      <c r="S47" s="9"/>
    </row>
    <row r="48" spans="1:19" ht="60" x14ac:dyDescent="0.3">
      <c r="A48" s="7">
        <f>IF($C48&lt;&gt;"", SUBTOTAL(103,$C$6:C48), "")</f>
        <v>13</v>
      </c>
      <c r="B48" s="41">
        <v>13</v>
      </c>
      <c r="C48" s="25" t="s">
        <v>268</v>
      </c>
      <c r="D48" s="26"/>
      <c r="E48" s="26" t="s">
        <v>22</v>
      </c>
      <c r="F48" s="30" t="s">
        <v>370</v>
      </c>
      <c r="G48" s="27" t="s">
        <v>371</v>
      </c>
      <c r="H48" s="28">
        <v>44900</v>
      </c>
      <c r="I48" s="26" t="s">
        <v>372</v>
      </c>
      <c r="J48" s="28">
        <v>44917</v>
      </c>
      <c r="K48" s="28" t="str">
        <f t="shared" ref="K48:K58" si="3">IF($E48="IUPTLS",IF(ISBLANK(J48), " ", DATE(YEAR(J48)+5,MONTH(J48),DAY(J48))),IF($E48="SKTP","",""))</f>
        <v/>
      </c>
      <c r="L48" s="25" t="s">
        <v>373</v>
      </c>
      <c r="M48" s="25" t="s">
        <v>374</v>
      </c>
      <c r="N48" s="26">
        <v>1</v>
      </c>
      <c r="O48" s="26">
        <v>72.5</v>
      </c>
      <c r="P48" s="26">
        <f>Table14[[#This Row],[14]]*Table14[[#This Row],[15]]</f>
        <v>72.5</v>
      </c>
      <c r="Q48" s="26" t="s">
        <v>77</v>
      </c>
      <c r="R48" s="26" t="s">
        <v>136</v>
      </c>
      <c r="S48" s="9" t="s">
        <v>156</v>
      </c>
    </row>
    <row r="49" spans="1:19" x14ac:dyDescent="0.3">
      <c r="A49" s="7" t="str">
        <f>IF($C49&lt;&gt;"", SUBTOTAL(103,$C$6:C49), "")</f>
        <v/>
      </c>
      <c r="B49" s="41">
        <f t="shared" si="1"/>
        <v>13</v>
      </c>
      <c r="C49" s="36"/>
      <c r="D49" s="37"/>
      <c r="E49" s="37"/>
      <c r="F49" s="46"/>
      <c r="G49" s="46"/>
      <c r="H49" s="47"/>
      <c r="I49" s="37"/>
      <c r="J49" s="47"/>
      <c r="K49" s="47" t="str">
        <f t="shared" si="3"/>
        <v/>
      </c>
      <c r="L49" s="36"/>
      <c r="M49" s="36"/>
      <c r="N49" s="37">
        <v>1</v>
      </c>
      <c r="O49" s="37">
        <v>20</v>
      </c>
      <c r="P49" s="37">
        <f>Table14[[#This Row],[14]]*Table14[[#This Row],[15]]</f>
        <v>20</v>
      </c>
      <c r="Q49" s="37" t="s">
        <v>77</v>
      </c>
      <c r="R49" s="37" t="s">
        <v>136</v>
      </c>
      <c r="S49" s="9"/>
    </row>
    <row r="50" spans="1:19" x14ac:dyDescent="0.3">
      <c r="A50" s="7" t="str">
        <f>IF($C50&lt;&gt;"", SUBTOTAL(103,$C$6:C50), "")</f>
        <v/>
      </c>
      <c r="B50" s="41">
        <f t="shared" si="1"/>
        <v>13</v>
      </c>
      <c r="C50" s="36"/>
      <c r="D50" s="37"/>
      <c r="E50" s="37"/>
      <c r="F50" s="49"/>
      <c r="G50" s="46"/>
      <c r="H50" s="47"/>
      <c r="I50" s="37"/>
      <c r="J50" s="47"/>
      <c r="K50" s="47" t="str">
        <f t="shared" si="3"/>
        <v/>
      </c>
      <c r="L50" s="36"/>
      <c r="M50" s="36"/>
      <c r="N50" s="37">
        <v>1</v>
      </c>
      <c r="O50" s="37">
        <v>8</v>
      </c>
      <c r="P50" s="37">
        <f>Table14[[#This Row],[14]]*Table14[[#This Row],[15]]</f>
        <v>8</v>
      </c>
      <c r="Q50" s="37" t="s">
        <v>77</v>
      </c>
      <c r="R50" s="37" t="s">
        <v>136</v>
      </c>
      <c r="S50" s="9"/>
    </row>
    <row r="51" spans="1:19" x14ac:dyDescent="0.3">
      <c r="A51" s="7" t="str">
        <f>IF($C51&lt;&gt;"", SUBTOTAL(103,$C$6:C51), "")</f>
        <v/>
      </c>
      <c r="B51" s="41">
        <f t="shared" si="1"/>
        <v>13</v>
      </c>
      <c r="C51" s="31"/>
      <c r="D51" s="38"/>
      <c r="E51" s="38"/>
      <c r="F51" s="32"/>
      <c r="G51" s="32"/>
      <c r="H51" s="39"/>
      <c r="I51" s="38"/>
      <c r="J51" s="39"/>
      <c r="K51" s="39" t="str">
        <f t="shared" si="3"/>
        <v/>
      </c>
      <c r="L51" s="31"/>
      <c r="M51" s="31"/>
      <c r="N51" s="38">
        <v>2</v>
      </c>
      <c r="O51" s="38">
        <v>4.8</v>
      </c>
      <c r="P51" s="38">
        <f>Table14[[#This Row],[14]]*Table14[[#This Row],[15]]</f>
        <v>9.6</v>
      </c>
      <c r="Q51" s="38" t="s">
        <v>77</v>
      </c>
      <c r="R51" s="38" t="s">
        <v>136</v>
      </c>
      <c r="S51" s="9"/>
    </row>
    <row r="52" spans="1:19" ht="60" x14ac:dyDescent="0.3">
      <c r="A52" s="7">
        <f>IF($C52&lt;&gt;"", SUBTOTAL(103,$C$6:C52), "")</f>
        <v>14</v>
      </c>
      <c r="B52" s="41">
        <v>14</v>
      </c>
      <c r="C52" s="36" t="s">
        <v>546</v>
      </c>
      <c r="D52" s="37"/>
      <c r="E52" s="37" t="s">
        <v>21</v>
      </c>
      <c r="F52" s="46" t="s">
        <v>541</v>
      </c>
      <c r="G52" s="46" t="s">
        <v>542</v>
      </c>
      <c r="H52" s="28">
        <v>44917</v>
      </c>
      <c r="I52" s="94" t="s">
        <v>548</v>
      </c>
      <c r="J52" s="47">
        <v>44946</v>
      </c>
      <c r="K52" s="47">
        <f>IF($E52="IUPTLS",IF(ISBLANK(J52), " ", DATE(YEAR(J52)+5,MONTH(J52),DAY(J52))),IF($E52="SKTP","",""))</f>
        <v>46772</v>
      </c>
      <c r="L52" s="36" t="s">
        <v>547</v>
      </c>
      <c r="M52" s="36" t="s">
        <v>543</v>
      </c>
      <c r="N52" s="37">
        <v>2</v>
      </c>
      <c r="O52" s="37">
        <v>500</v>
      </c>
      <c r="P52" s="37">
        <f>Table14[[#This Row],[14]]*Table14[[#This Row],[15]]</f>
        <v>1000</v>
      </c>
      <c r="Q52" s="37" t="s">
        <v>77</v>
      </c>
      <c r="R52" s="37" t="s">
        <v>136</v>
      </c>
      <c r="S52" s="9"/>
    </row>
    <row r="53" spans="1:19" ht="45" x14ac:dyDescent="0.3">
      <c r="A53" s="7" t="str">
        <f>IF($C53&lt;&gt;"", SUBTOTAL(103,$C$6:C53), "")</f>
        <v/>
      </c>
      <c r="B53" s="41">
        <f>B52</f>
        <v>14</v>
      </c>
      <c r="C53" s="36"/>
      <c r="D53" s="37"/>
      <c r="E53" s="37"/>
      <c r="F53" s="46"/>
      <c r="G53" s="46"/>
      <c r="H53" s="47"/>
      <c r="I53" s="37"/>
      <c r="J53" s="47"/>
      <c r="K53" s="47" t="str">
        <f>IF($E53="IUPTLS",IF(ISBLANK(J53), " ", DATE(YEAR(J53)+5,MONTH(J53),DAY(J53))),IF($E53="SKTP","",""))</f>
        <v/>
      </c>
      <c r="L53" s="36"/>
      <c r="M53" s="36" t="s">
        <v>544</v>
      </c>
      <c r="N53" s="37">
        <v>2</v>
      </c>
      <c r="O53" s="37">
        <v>500</v>
      </c>
      <c r="P53" s="37">
        <f>Table14[[#This Row],[14]]*Table14[[#This Row],[15]]</f>
        <v>1000</v>
      </c>
      <c r="Q53" s="37" t="s">
        <v>77</v>
      </c>
      <c r="R53" s="37" t="s">
        <v>136</v>
      </c>
      <c r="S53" s="9"/>
    </row>
    <row r="54" spans="1:19" ht="45" x14ac:dyDescent="0.3">
      <c r="A54" s="7" t="str">
        <f>IF($C54&lt;&gt;"", SUBTOTAL(103,$C$6:C54), "")</f>
        <v/>
      </c>
      <c r="B54" s="41">
        <f>B53</f>
        <v>14</v>
      </c>
      <c r="C54" s="36"/>
      <c r="D54" s="37"/>
      <c r="E54" s="37"/>
      <c r="F54" s="46"/>
      <c r="G54" s="46"/>
      <c r="H54" s="47"/>
      <c r="I54" s="37"/>
      <c r="J54" s="47"/>
      <c r="K54" s="47" t="str">
        <f>IF($E54="IUPTLS",IF(ISBLANK(J54), " ", DATE(YEAR(J54)+5,MONTH(J54),DAY(J54))),IF($E54="SKTP","",""))</f>
        <v/>
      </c>
      <c r="L54" s="36"/>
      <c r="M54" s="36" t="s">
        <v>545</v>
      </c>
      <c r="N54" s="37">
        <v>2</v>
      </c>
      <c r="O54" s="37">
        <v>500</v>
      </c>
      <c r="P54" s="37">
        <f>Table14[[#This Row],[14]]*Table14[[#This Row],[15]]</f>
        <v>1000</v>
      </c>
      <c r="Q54" s="38" t="s">
        <v>77</v>
      </c>
      <c r="R54" s="38" t="s">
        <v>136</v>
      </c>
      <c r="S54" s="9"/>
    </row>
    <row r="55" spans="1:19" ht="60" x14ac:dyDescent="0.3">
      <c r="A55" s="7">
        <f>IF($C55&lt;&gt;"", SUBTOTAL(103,$C$6:C55), "")</f>
        <v>15</v>
      </c>
      <c r="B55" s="41">
        <v>15</v>
      </c>
      <c r="C55" s="25" t="s">
        <v>375</v>
      </c>
      <c r="D55" s="26"/>
      <c r="E55" s="26" t="s">
        <v>22</v>
      </c>
      <c r="F55" s="27" t="s">
        <v>376</v>
      </c>
      <c r="G55" s="27" t="s">
        <v>377</v>
      </c>
      <c r="H55" s="28">
        <v>44917</v>
      </c>
      <c r="I55" s="26" t="s">
        <v>378</v>
      </c>
      <c r="J55" s="28">
        <v>44925</v>
      </c>
      <c r="K55" s="28" t="str">
        <f t="shared" si="3"/>
        <v/>
      </c>
      <c r="L55" s="25" t="s">
        <v>379</v>
      </c>
      <c r="M55" s="25" t="s">
        <v>380</v>
      </c>
      <c r="N55" s="26">
        <v>1</v>
      </c>
      <c r="O55" s="26">
        <v>80</v>
      </c>
      <c r="P55" s="26">
        <f>Table14[[#This Row],[14]]*Table14[[#This Row],[15]]</f>
        <v>80</v>
      </c>
      <c r="Q55" s="26" t="s">
        <v>77</v>
      </c>
      <c r="R55" s="26" t="s">
        <v>136</v>
      </c>
      <c r="S55" s="9" t="s">
        <v>156</v>
      </c>
    </row>
    <row r="56" spans="1:19" x14ac:dyDescent="0.3">
      <c r="A56" s="7" t="str">
        <f>IF($C56&lt;&gt;"", SUBTOTAL(103,$C$6:C56), "")</f>
        <v/>
      </c>
      <c r="B56" s="41">
        <f t="shared" si="1"/>
        <v>15</v>
      </c>
      <c r="C56" s="36"/>
      <c r="D56" s="37"/>
      <c r="E56" s="37"/>
      <c r="F56" s="46"/>
      <c r="G56" s="46"/>
      <c r="H56" s="47"/>
      <c r="I56" s="37"/>
      <c r="J56" s="47"/>
      <c r="K56" s="47" t="str">
        <f t="shared" si="3"/>
        <v/>
      </c>
      <c r="L56" s="36"/>
      <c r="M56" s="36"/>
      <c r="N56" s="37">
        <v>1</v>
      </c>
      <c r="O56" s="37">
        <v>35</v>
      </c>
      <c r="P56" s="37">
        <f>Table14[[#This Row],[14]]*Table14[[#This Row],[15]]</f>
        <v>35</v>
      </c>
      <c r="Q56" s="37" t="s">
        <v>77</v>
      </c>
      <c r="R56" s="37" t="s">
        <v>136</v>
      </c>
      <c r="S56" s="16"/>
    </row>
    <row r="57" spans="1:19" ht="30" x14ac:dyDescent="0.3">
      <c r="A57" s="7" t="str">
        <f>IF($C57&lt;&gt;"", SUBTOTAL(103,$C$6:C57), "")</f>
        <v/>
      </c>
      <c r="B57" s="41">
        <f t="shared" si="1"/>
        <v>15</v>
      </c>
      <c r="C57" s="36"/>
      <c r="D57" s="37"/>
      <c r="E57" s="37"/>
      <c r="F57" s="46"/>
      <c r="G57" s="46"/>
      <c r="H57" s="47"/>
      <c r="I57" s="37"/>
      <c r="J57" s="47"/>
      <c r="K57" s="47" t="str">
        <f t="shared" si="3"/>
        <v/>
      </c>
      <c r="L57" s="36"/>
      <c r="M57" s="36"/>
      <c r="N57" s="37">
        <v>1</v>
      </c>
      <c r="O57" s="37">
        <v>8.3000000000000007</v>
      </c>
      <c r="P57" s="37">
        <f>Table14[[#This Row],[14]]*Table14[[#This Row],[15]]</f>
        <v>8.3000000000000007</v>
      </c>
      <c r="Q57" s="37" t="s">
        <v>77</v>
      </c>
      <c r="R57" s="37" t="s">
        <v>382</v>
      </c>
      <c r="S57" s="16"/>
    </row>
    <row r="58" spans="1:19" ht="30" x14ac:dyDescent="0.3">
      <c r="A58" s="7" t="str">
        <f>IF($C58&lt;&gt;"", SUBTOTAL(103,$C$6:C58), "")</f>
        <v/>
      </c>
      <c r="B58" s="41">
        <f t="shared" si="1"/>
        <v>15</v>
      </c>
      <c r="C58" s="31"/>
      <c r="D58" s="38"/>
      <c r="E58" s="38"/>
      <c r="F58" s="51"/>
      <c r="G58" s="32"/>
      <c r="H58" s="39"/>
      <c r="I58" s="32"/>
      <c r="J58" s="39"/>
      <c r="K58" s="39" t="str">
        <f t="shared" si="3"/>
        <v/>
      </c>
      <c r="L58" s="31"/>
      <c r="M58" s="31" t="s">
        <v>381</v>
      </c>
      <c r="N58" s="38">
        <v>1</v>
      </c>
      <c r="O58" s="38">
        <v>13.5</v>
      </c>
      <c r="P58" s="38">
        <f>Table14[[#This Row],[14]]*Table14[[#This Row],[15]]</f>
        <v>13.5</v>
      </c>
      <c r="Q58" s="38" t="s">
        <v>77</v>
      </c>
      <c r="R58" s="38" t="s">
        <v>136</v>
      </c>
      <c r="S58" s="16"/>
    </row>
    <row r="61" spans="1:19" ht="15" customHeight="1" x14ac:dyDescent="0.3">
      <c r="A61" s="2"/>
      <c r="G61" s="87" t="s">
        <v>23</v>
      </c>
      <c r="H61" s="83">
        <f>COUNTIF($E$6:$E$58,"IUPTLS")</f>
        <v>12</v>
      </c>
      <c r="N61" s="132" t="s">
        <v>69</v>
      </c>
      <c r="O61" s="132"/>
      <c r="P61" s="133">
        <f>SUM($P$6:$P$58)-(SUM($P29:$P34))</f>
        <v>41971.9</v>
      </c>
      <c r="Q61" s="2"/>
      <c r="R61" s="2"/>
    </row>
    <row r="62" spans="1:19" ht="15" customHeight="1" x14ac:dyDescent="0.3">
      <c r="A62" s="2"/>
      <c r="G62" s="87" t="s">
        <v>24</v>
      </c>
      <c r="H62" s="84">
        <f>COUNTIF($E$6:$E$58,"SKTP")</f>
        <v>3</v>
      </c>
      <c r="N62" s="132"/>
      <c r="O62" s="132"/>
      <c r="P62" s="133"/>
      <c r="Q62" s="2"/>
      <c r="R62" s="2"/>
    </row>
    <row r="63" spans="1:19" ht="15" customHeight="1" x14ac:dyDescent="0.3">
      <c r="A63" s="2"/>
      <c r="G63" s="87" t="s">
        <v>25</v>
      </c>
      <c r="H63" s="82">
        <f>SUM(H61:H62)</f>
        <v>15</v>
      </c>
      <c r="Q63" s="2"/>
      <c r="R63" s="2"/>
    </row>
  </sheetData>
  <mergeCells count="9">
    <mergeCell ref="S3:S4"/>
    <mergeCell ref="N61:O62"/>
    <mergeCell ref="P61:P62"/>
    <mergeCell ref="A1:R1"/>
    <mergeCell ref="A3:A4"/>
    <mergeCell ref="B3:B4"/>
    <mergeCell ref="C3:D3"/>
    <mergeCell ref="E3:K3"/>
    <mergeCell ref="L3:R3"/>
  </mergeCells>
  <phoneticPr fontId="5" type="noConversion"/>
  <conditionalFormatting sqref="C6:C58">
    <cfRule type="expression" dxfId="34" priority="11">
      <formula>AND($I6="",$C6&lt;&gt;"")</formula>
    </cfRule>
  </conditionalFormatting>
  <conditionalFormatting sqref="B55:B58">
    <cfRule type="expression" dxfId="33" priority="24">
      <formula>ISBLANK($B55:$B104)</formula>
    </cfRule>
  </conditionalFormatting>
  <conditionalFormatting sqref="I6:I58">
    <cfRule type="expression" dxfId="32" priority="1">
      <formula>TODAY()&gt;=$K6</formula>
    </cfRule>
    <cfRule type="expression" dxfId="31" priority="2">
      <formula>AND($K6&gt;=TODAY(),$K6&lt;=TODAY()+30)</formula>
    </cfRule>
  </conditionalFormatting>
  <conditionalFormatting sqref="B54">
    <cfRule type="expression" dxfId="30" priority="33">
      <formula>ISBLANK($B54:$B104)</formula>
    </cfRule>
  </conditionalFormatting>
  <conditionalFormatting sqref="B53">
    <cfRule type="expression" dxfId="29" priority="34">
      <formula>ISBLANK($B53:$B104)</formula>
    </cfRule>
  </conditionalFormatting>
  <conditionalFormatting sqref="B6:B52">
    <cfRule type="expression" dxfId="0" priority="35">
      <formula>ISBLANK($B6:$B58)</formula>
    </cfRule>
  </conditionalFormatting>
  <pageMargins left="0.25" right="0.25" top="0.75" bottom="0.75" header="0.3" footer="0.3"/>
  <pageSetup paperSize="9" scale="38" fitToHeight="0" orientation="landscape" r:id="rId1"/>
  <rowBreaks count="2" manualBreakCount="2">
    <brk id="21" max="18" man="1"/>
    <brk id="41" max="16383" man="1"/>
  </rowBreak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582A5-7969-48D9-805A-40744D4F4208}">
  <sheetPr>
    <outlinePr summaryBelow="0" summaryRight="0"/>
    <pageSetUpPr fitToPage="1"/>
  </sheetPr>
  <dimension ref="A1:S33"/>
  <sheetViews>
    <sheetView zoomScale="70" zoomScaleNormal="70" zoomScaleSheetLayoutView="70" workbookViewId="0">
      <pane xSplit="2" ySplit="1" topLeftCell="H18" activePane="bottomRight" state="frozen"/>
      <selection pane="topRight" activeCell="C1" sqref="C1"/>
      <selection pane="bottomLeft" activeCell="A2" sqref="A2"/>
      <selection pane="bottomRight" activeCell="K25" sqref="K25"/>
    </sheetView>
  </sheetViews>
  <sheetFormatPr defaultColWidth="8.88671875" defaultRowHeight="15" x14ac:dyDescent="0.3"/>
  <cols>
    <col min="1" max="1" width="7.109375" style="1" bestFit="1" customWidth="1"/>
    <col min="2" max="2" width="7.109375" style="1" customWidth="1"/>
    <col min="3" max="3" width="29.6640625" style="2" bestFit="1" customWidth="1"/>
    <col min="4" max="4" width="22.6640625" style="5" customWidth="1"/>
    <col min="5" max="5" width="9" style="1" bestFit="1" customWidth="1"/>
    <col min="6" max="6" width="30.109375" style="3" bestFit="1" customWidth="1"/>
    <col min="7" max="7" width="31.44140625" style="3" bestFit="1" customWidth="1"/>
    <col min="8" max="8" width="21.6640625" style="4" bestFit="1" customWidth="1"/>
    <col min="9" max="9" width="45.44140625" style="3" customWidth="1"/>
    <col min="10" max="11" width="21.6640625" style="4" customWidth="1"/>
    <col min="12" max="12" width="26.88671875" style="5" customWidth="1"/>
    <col min="13" max="13" width="18.88671875" style="5" bestFit="1" customWidth="1"/>
    <col min="14" max="14" width="9.33203125" style="1" bestFit="1" customWidth="1"/>
    <col min="15" max="15" width="12.109375" style="1" bestFit="1" customWidth="1"/>
    <col min="16" max="16" width="16.44140625" style="6" bestFit="1" customWidth="1"/>
    <col min="17" max="17" width="11" style="1" bestFit="1" customWidth="1"/>
    <col min="18" max="18" width="15.44140625" style="1" bestFit="1" customWidth="1"/>
    <col min="19" max="19" width="27.5546875" style="2" customWidth="1"/>
    <col min="20" max="16384" width="8.88671875" style="2"/>
  </cols>
  <sheetData>
    <row r="1" spans="1:19" ht="21" x14ac:dyDescent="0.3">
      <c r="A1" s="135" t="s">
        <v>383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</row>
    <row r="2" spans="1:19" x14ac:dyDescent="0.3">
      <c r="D2" s="2"/>
      <c r="F2" s="1"/>
      <c r="H2" s="1"/>
      <c r="J2" s="1"/>
      <c r="K2" s="1"/>
      <c r="L2" s="1"/>
      <c r="M2" s="1"/>
    </row>
    <row r="3" spans="1:19" ht="15.6" x14ac:dyDescent="0.3">
      <c r="A3" s="131" t="s">
        <v>3</v>
      </c>
      <c r="B3" s="131" t="s">
        <v>4</v>
      </c>
      <c r="C3" s="131" t="s">
        <v>0</v>
      </c>
      <c r="D3" s="131"/>
      <c r="E3" s="131" t="s">
        <v>1</v>
      </c>
      <c r="F3" s="131"/>
      <c r="G3" s="131"/>
      <c r="H3" s="131"/>
      <c r="I3" s="131"/>
      <c r="J3" s="131"/>
      <c r="K3" s="131"/>
      <c r="L3" s="131" t="s">
        <v>2</v>
      </c>
      <c r="M3" s="131"/>
      <c r="N3" s="131"/>
      <c r="O3" s="131"/>
      <c r="P3" s="131"/>
      <c r="Q3" s="131"/>
      <c r="R3" s="131"/>
      <c r="S3" s="131" t="s">
        <v>19</v>
      </c>
    </row>
    <row r="4" spans="1:19" s="1" customFormat="1" ht="46.8" x14ac:dyDescent="0.3">
      <c r="A4" s="131"/>
      <c r="B4" s="131"/>
      <c r="C4" s="40" t="s">
        <v>5</v>
      </c>
      <c r="D4" s="40" t="s">
        <v>6</v>
      </c>
      <c r="E4" s="40" t="s">
        <v>7</v>
      </c>
      <c r="F4" s="40" t="s">
        <v>8</v>
      </c>
      <c r="G4" s="40" t="s">
        <v>9</v>
      </c>
      <c r="H4" s="40" t="s">
        <v>10</v>
      </c>
      <c r="I4" s="43" t="s">
        <v>11</v>
      </c>
      <c r="J4" s="40" t="s">
        <v>12</v>
      </c>
      <c r="K4" s="40" t="s">
        <v>13</v>
      </c>
      <c r="L4" s="40" t="s">
        <v>14</v>
      </c>
      <c r="M4" s="40" t="s">
        <v>15</v>
      </c>
      <c r="N4" s="40" t="s">
        <v>16</v>
      </c>
      <c r="O4" s="43" t="s">
        <v>17</v>
      </c>
      <c r="P4" s="18" t="s">
        <v>69</v>
      </c>
      <c r="Q4" s="40" t="s">
        <v>7</v>
      </c>
      <c r="R4" s="40" t="s">
        <v>18</v>
      </c>
      <c r="S4" s="131"/>
    </row>
    <row r="5" spans="1:19" s="1" customFormat="1" x14ac:dyDescent="0.3">
      <c r="A5" s="10" t="s">
        <v>26</v>
      </c>
      <c r="B5" s="11" t="s">
        <v>27</v>
      </c>
      <c r="C5" s="11" t="s">
        <v>28</v>
      </c>
      <c r="D5" s="11" t="s">
        <v>29</v>
      </c>
      <c r="E5" s="11" t="s">
        <v>30</v>
      </c>
      <c r="F5" s="11" t="s">
        <v>31</v>
      </c>
      <c r="G5" s="11" t="s">
        <v>32</v>
      </c>
      <c r="H5" s="11" t="s">
        <v>33</v>
      </c>
      <c r="I5" s="44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1" t="s">
        <v>39</v>
      </c>
      <c r="O5" s="11" t="s">
        <v>40</v>
      </c>
      <c r="P5" s="12" t="s">
        <v>20</v>
      </c>
      <c r="Q5" s="11" t="s">
        <v>41</v>
      </c>
      <c r="R5" s="11" t="s">
        <v>42</v>
      </c>
      <c r="S5" s="13" t="s">
        <v>43</v>
      </c>
    </row>
    <row r="6" spans="1:19" ht="60" x14ac:dyDescent="0.3">
      <c r="A6" s="7">
        <f>IF($C6&lt;&gt;"", SUBTOTAL(103,$C$6:C6), "")</f>
        <v>1</v>
      </c>
      <c r="B6" s="41">
        <v>1</v>
      </c>
      <c r="C6" s="25" t="s">
        <v>384</v>
      </c>
      <c r="D6" s="26"/>
      <c r="E6" s="26" t="s">
        <v>22</v>
      </c>
      <c r="F6" s="26" t="s">
        <v>385</v>
      </c>
      <c r="G6" s="27" t="s">
        <v>386</v>
      </c>
      <c r="H6" s="28">
        <v>44622</v>
      </c>
      <c r="I6" s="26" t="s">
        <v>387</v>
      </c>
      <c r="J6" s="28">
        <v>44634</v>
      </c>
      <c r="K6" s="28" t="str">
        <f t="shared" ref="K6:K28" si="0">IF($E6="IUPTLS",IF(ISBLANK(J6), " ", DATE(YEAR(J6)+5,MONTH(J6),DAY(J6))),IF($E6="SKTP","",""))</f>
        <v/>
      </c>
      <c r="L6" s="25" t="s">
        <v>388</v>
      </c>
      <c r="M6" s="25"/>
      <c r="N6" s="26">
        <v>1</v>
      </c>
      <c r="O6" s="26">
        <v>200</v>
      </c>
      <c r="P6" s="26">
        <f>Table145[[#This Row],[14]]*Table145[[#This Row],[15]]</f>
        <v>200</v>
      </c>
      <c r="Q6" s="26" t="s">
        <v>77</v>
      </c>
      <c r="R6" s="26" t="s">
        <v>78</v>
      </c>
      <c r="S6" s="9"/>
    </row>
    <row r="7" spans="1:19" x14ac:dyDescent="0.3">
      <c r="A7" s="7" t="str">
        <f>IF($C7&lt;&gt;"", SUBTOTAL(103,$C$6:C7), "")</f>
        <v/>
      </c>
      <c r="B7" s="41">
        <f>B6</f>
        <v>1</v>
      </c>
      <c r="C7" s="31"/>
      <c r="D7" s="38"/>
      <c r="E7" s="38"/>
      <c r="F7" s="32"/>
      <c r="G7" s="32"/>
      <c r="H7" s="39"/>
      <c r="I7" s="38"/>
      <c r="J7" s="39"/>
      <c r="K7" s="39" t="str">
        <f t="shared" si="0"/>
        <v/>
      </c>
      <c r="L7" s="31"/>
      <c r="M7" s="31"/>
      <c r="N7" s="38">
        <v>1</v>
      </c>
      <c r="O7" s="38">
        <v>250</v>
      </c>
      <c r="P7" s="38">
        <f>Table145[[#This Row],[14]]*Table145[[#This Row],[15]]</f>
        <v>250</v>
      </c>
      <c r="Q7" s="38" t="s">
        <v>77</v>
      </c>
      <c r="R7" s="38" t="s">
        <v>78</v>
      </c>
      <c r="S7" s="9"/>
    </row>
    <row r="8" spans="1:19" ht="45" x14ac:dyDescent="0.3">
      <c r="A8" s="7">
        <f>IF($C8&lt;&gt;"", SUBTOTAL(103,$C$6:C8), "")</f>
        <v>2</v>
      </c>
      <c r="B8" s="41">
        <v>2</v>
      </c>
      <c r="C8" s="25" t="s">
        <v>389</v>
      </c>
      <c r="D8" s="26"/>
      <c r="E8" s="26" t="s">
        <v>21</v>
      </c>
      <c r="F8" s="27" t="s">
        <v>390</v>
      </c>
      <c r="G8" s="27" t="s">
        <v>391</v>
      </c>
      <c r="H8" s="28">
        <v>44642</v>
      </c>
      <c r="I8" s="35" t="s">
        <v>392</v>
      </c>
      <c r="J8" s="28">
        <v>44649</v>
      </c>
      <c r="K8" s="28">
        <f t="shared" si="0"/>
        <v>46475</v>
      </c>
      <c r="L8" s="25" t="s">
        <v>393</v>
      </c>
      <c r="M8" s="25"/>
      <c r="N8" s="26">
        <v>1</v>
      </c>
      <c r="O8" s="26">
        <v>27.5</v>
      </c>
      <c r="P8" s="26">
        <f>Table145[[#This Row],[14]]*Table145[[#This Row],[15]]</f>
        <v>27.5</v>
      </c>
      <c r="Q8" s="26" t="s">
        <v>77</v>
      </c>
      <c r="R8" s="26" t="s">
        <v>103</v>
      </c>
      <c r="S8" s="9"/>
    </row>
    <row r="9" spans="1:19" x14ac:dyDescent="0.3">
      <c r="A9" s="7" t="str">
        <f>IF($C9&lt;&gt;"", SUBTOTAL(103,$C$6:C9), "")</f>
        <v/>
      </c>
      <c r="B9" s="41">
        <f t="shared" ref="B9:B28" si="1">B8</f>
        <v>2</v>
      </c>
      <c r="C9" s="36"/>
      <c r="D9" s="37"/>
      <c r="E9" s="37"/>
      <c r="F9" s="46"/>
      <c r="G9" s="46"/>
      <c r="H9" s="47"/>
      <c r="I9" s="37"/>
      <c r="J9" s="47"/>
      <c r="K9" s="47" t="str">
        <f t="shared" si="0"/>
        <v/>
      </c>
      <c r="L9" s="36"/>
      <c r="M9" s="36"/>
      <c r="N9" s="37">
        <v>1</v>
      </c>
      <c r="O9" s="37">
        <v>60</v>
      </c>
      <c r="P9" s="37">
        <f>Table145[[#This Row],[14]]*Table145[[#This Row],[15]]</f>
        <v>60</v>
      </c>
      <c r="Q9" s="37" t="s">
        <v>77</v>
      </c>
      <c r="R9" s="37"/>
      <c r="S9" s="9"/>
    </row>
    <row r="10" spans="1:19" x14ac:dyDescent="0.3">
      <c r="A10" s="7" t="str">
        <f>IF($C10&lt;&gt;"", SUBTOTAL(103,$C$6:C10), "")</f>
        <v/>
      </c>
      <c r="B10" s="41">
        <f t="shared" si="1"/>
        <v>2</v>
      </c>
      <c r="C10" s="36"/>
      <c r="D10" s="37"/>
      <c r="E10" s="37"/>
      <c r="F10" s="46"/>
      <c r="G10" s="46"/>
      <c r="H10" s="47"/>
      <c r="I10" s="37"/>
      <c r="J10" s="47"/>
      <c r="K10" s="47" t="str">
        <f t="shared" si="0"/>
        <v/>
      </c>
      <c r="L10" s="36"/>
      <c r="M10" s="36"/>
      <c r="N10" s="37">
        <v>1</v>
      </c>
      <c r="O10" s="37">
        <v>200</v>
      </c>
      <c r="P10" s="37">
        <f>Table145[[#This Row],[14]]*Table145[[#This Row],[15]]</f>
        <v>200</v>
      </c>
      <c r="Q10" s="37" t="s">
        <v>77</v>
      </c>
      <c r="R10" s="37"/>
      <c r="S10" s="9"/>
    </row>
    <row r="11" spans="1:19" x14ac:dyDescent="0.3">
      <c r="A11" s="7" t="str">
        <f>IF($C11&lt;&gt;"", SUBTOTAL(103,$C$6:C11), "")</f>
        <v/>
      </c>
      <c r="B11" s="41">
        <f t="shared" si="1"/>
        <v>2</v>
      </c>
      <c r="C11" s="31"/>
      <c r="D11" s="38"/>
      <c r="E11" s="38"/>
      <c r="F11" s="32"/>
      <c r="G11" s="32"/>
      <c r="H11" s="39"/>
      <c r="I11" s="38"/>
      <c r="J11" s="39"/>
      <c r="K11" s="39" t="str">
        <f t="shared" si="0"/>
        <v/>
      </c>
      <c r="L11" s="31"/>
      <c r="M11" s="31"/>
      <c r="N11" s="38">
        <v>1</v>
      </c>
      <c r="O11" s="38">
        <v>500</v>
      </c>
      <c r="P11" s="38">
        <f>Table145[[#This Row],[14]]*Table145[[#This Row],[15]]</f>
        <v>500</v>
      </c>
      <c r="Q11" s="38" t="s">
        <v>77</v>
      </c>
      <c r="R11" s="38"/>
      <c r="S11" s="9"/>
    </row>
    <row r="12" spans="1:19" ht="45" x14ac:dyDescent="0.3">
      <c r="A12" s="7">
        <f>IF($C12&lt;&gt;"", SUBTOTAL(103,$C$6:C12), "")</f>
        <v>3</v>
      </c>
      <c r="B12" s="41">
        <v>3</v>
      </c>
      <c r="C12" s="36" t="s">
        <v>394</v>
      </c>
      <c r="D12" s="37"/>
      <c r="E12" s="37" t="s">
        <v>22</v>
      </c>
      <c r="F12" s="37" t="s">
        <v>395</v>
      </c>
      <c r="G12" s="46" t="s">
        <v>396</v>
      </c>
      <c r="H12" s="47">
        <v>44739</v>
      </c>
      <c r="I12" s="37" t="s">
        <v>397</v>
      </c>
      <c r="J12" s="47">
        <v>44753</v>
      </c>
      <c r="K12" s="47" t="str">
        <f t="shared" si="0"/>
        <v/>
      </c>
      <c r="L12" s="36" t="s">
        <v>398</v>
      </c>
      <c r="M12" s="36" t="s">
        <v>399</v>
      </c>
      <c r="N12" s="37">
        <v>1</v>
      </c>
      <c r="O12" s="37">
        <v>220</v>
      </c>
      <c r="P12" s="37">
        <f>Table145[[#This Row],[14]]*Table145[[#This Row],[15]]</f>
        <v>220</v>
      </c>
      <c r="Q12" s="37" t="s">
        <v>77</v>
      </c>
      <c r="R12" s="37" t="s">
        <v>136</v>
      </c>
      <c r="S12" s="9"/>
    </row>
    <row r="13" spans="1:19" ht="45" x14ac:dyDescent="0.3">
      <c r="A13" s="7">
        <f>IF($C13&lt;&gt;"", SUBTOTAL(103,$C$6:C13), "")</f>
        <v>4</v>
      </c>
      <c r="B13" s="41">
        <v>4</v>
      </c>
      <c r="C13" s="25" t="s">
        <v>394</v>
      </c>
      <c r="D13" s="26"/>
      <c r="E13" s="26" t="s">
        <v>21</v>
      </c>
      <c r="F13" s="27" t="s">
        <v>400</v>
      </c>
      <c r="G13" s="27" t="s">
        <v>401</v>
      </c>
      <c r="H13" s="28">
        <v>44739</v>
      </c>
      <c r="I13" s="35" t="s">
        <v>402</v>
      </c>
      <c r="J13" s="28">
        <v>44750</v>
      </c>
      <c r="K13" s="28">
        <f t="shared" si="0"/>
        <v>46576</v>
      </c>
      <c r="L13" s="25" t="s">
        <v>398</v>
      </c>
      <c r="M13" s="25" t="s">
        <v>403</v>
      </c>
      <c r="N13" s="26">
        <v>2</v>
      </c>
      <c r="O13" s="26">
        <v>1050</v>
      </c>
      <c r="P13" s="26">
        <f>Table145[[#This Row],[14]]*Table145[[#This Row],[15]]</f>
        <v>2100</v>
      </c>
      <c r="Q13" s="26" t="s">
        <v>77</v>
      </c>
      <c r="R13" s="26" t="s">
        <v>136</v>
      </c>
      <c r="S13" s="9"/>
    </row>
    <row r="14" spans="1:19" x14ac:dyDescent="0.3">
      <c r="A14" s="7" t="str">
        <f>IF($C14&lt;&gt;"", SUBTOTAL(103,$C$6:C14), "")</f>
        <v/>
      </c>
      <c r="B14" s="41">
        <f t="shared" si="1"/>
        <v>4</v>
      </c>
      <c r="C14" s="31"/>
      <c r="D14" s="38"/>
      <c r="E14" s="38"/>
      <c r="F14" s="32"/>
      <c r="G14" s="32"/>
      <c r="H14" s="39"/>
      <c r="I14" s="38"/>
      <c r="J14" s="39"/>
      <c r="K14" s="39" t="str">
        <f t="shared" si="0"/>
        <v/>
      </c>
      <c r="L14" s="31"/>
      <c r="M14" s="31"/>
      <c r="N14" s="38">
        <v>1</v>
      </c>
      <c r="O14" s="38">
        <v>220</v>
      </c>
      <c r="P14" s="38">
        <f>Table145[[#This Row],[14]]*Table145[[#This Row],[15]]</f>
        <v>220</v>
      </c>
      <c r="Q14" s="38" t="s">
        <v>77</v>
      </c>
      <c r="R14" s="38" t="s">
        <v>136</v>
      </c>
      <c r="S14" s="9"/>
    </row>
    <row r="15" spans="1:19" ht="60" x14ac:dyDescent="0.3">
      <c r="A15" s="7">
        <f>IF($C15&lt;&gt;"", SUBTOTAL(103,$C$6:C15), "")</f>
        <v>5</v>
      </c>
      <c r="B15" s="41">
        <v>5</v>
      </c>
      <c r="C15" s="25" t="s">
        <v>339</v>
      </c>
      <c r="D15" s="59"/>
      <c r="E15" s="26" t="s">
        <v>21</v>
      </c>
      <c r="F15" s="27" t="s">
        <v>340</v>
      </c>
      <c r="G15" s="27" t="s">
        <v>341</v>
      </c>
      <c r="H15" s="28">
        <v>44862</v>
      </c>
      <c r="I15" s="45" t="s">
        <v>342</v>
      </c>
      <c r="J15" s="30">
        <v>44876</v>
      </c>
      <c r="K15" s="28">
        <f t="shared" si="0"/>
        <v>46702</v>
      </c>
      <c r="L15" s="95" t="s">
        <v>343</v>
      </c>
      <c r="M15" s="96" t="s">
        <v>345</v>
      </c>
      <c r="N15" s="97">
        <v>2</v>
      </c>
      <c r="O15" s="97">
        <v>550</v>
      </c>
      <c r="P15" s="97">
        <f>Table145[[#This Row],[14]]*Table145[[#This Row],[15]]</f>
        <v>1100</v>
      </c>
      <c r="Q15" s="97" t="s">
        <v>77</v>
      </c>
      <c r="R15" s="98" t="s">
        <v>136</v>
      </c>
      <c r="S15" s="9"/>
    </row>
    <row r="16" spans="1:19" ht="30" x14ac:dyDescent="0.3">
      <c r="A16" s="7" t="str">
        <f>IF($C16&lt;&gt;"", SUBTOTAL(103,$C$6:C16), "")</f>
        <v/>
      </c>
      <c r="B16" s="41">
        <f t="shared" si="1"/>
        <v>5</v>
      </c>
      <c r="C16" s="36"/>
      <c r="D16" s="61"/>
      <c r="E16" s="37"/>
      <c r="F16" s="46"/>
      <c r="G16" s="46"/>
      <c r="H16" s="47"/>
      <c r="I16" s="46"/>
      <c r="J16" s="49"/>
      <c r="K16" s="47" t="str">
        <f t="shared" si="0"/>
        <v/>
      </c>
      <c r="L16" s="99"/>
      <c r="M16" s="100" t="s">
        <v>346</v>
      </c>
      <c r="N16" s="101">
        <v>2</v>
      </c>
      <c r="O16" s="101">
        <v>380</v>
      </c>
      <c r="P16" s="101">
        <f>Table145[[#This Row],[14]]*Table145[[#This Row],[15]]</f>
        <v>760</v>
      </c>
      <c r="Q16" s="101" t="s">
        <v>77</v>
      </c>
      <c r="R16" s="102" t="s">
        <v>136</v>
      </c>
      <c r="S16" s="9"/>
    </row>
    <row r="17" spans="1:19" ht="30" x14ac:dyDescent="0.3">
      <c r="A17" s="7" t="str">
        <f>IF($C17&lt;&gt;"", SUBTOTAL(103,$C$6:C17), "")</f>
        <v/>
      </c>
      <c r="B17" s="41">
        <f t="shared" si="1"/>
        <v>5</v>
      </c>
      <c r="C17" s="36"/>
      <c r="D17" s="61"/>
      <c r="E17" s="37"/>
      <c r="F17" s="46"/>
      <c r="G17" s="46"/>
      <c r="H17" s="47"/>
      <c r="I17" s="46"/>
      <c r="J17" s="49"/>
      <c r="K17" s="47" t="str">
        <f t="shared" si="0"/>
        <v/>
      </c>
      <c r="L17" s="99"/>
      <c r="M17" s="100" t="s">
        <v>347</v>
      </c>
      <c r="N17" s="101">
        <v>2</v>
      </c>
      <c r="O17" s="101">
        <v>500</v>
      </c>
      <c r="P17" s="101">
        <f>Table145[[#This Row],[14]]*Table145[[#This Row],[15]]</f>
        <v>1000</v>
      </c>
      <c r="Q17" s="101" t="s">
        <v>77</v>
      </c>
      <c r="R17" s="102" t="s">
        <v>136</v>
      </c>
      <c r="S17" s="9"/>
    </row>
    <row r="18" spans="1:19" x14ac:dyDescent="0.3">
      <c r="A18" s="7" t="str">
        <f>IF($C18&lt;&gt;"", SUBTOTAL(103,$C$6:C18), "")</f>
        <v/>
      </c>
      <c r="B18" s="41">
        <f t="shared" si="1"/>
        <v>5</v>
      </c>
      <c r="C18" s="36"/>
      <c r="D18" s="61"/>
      <c r="E18" s="37"/>
      <c r="F18" s="46"/>
      <c r="G18" s="46"/>
      <c r="H18" s="47"/>
      <c r="I18" s="46"/>
      <c r="J18" s="49"/>
      <c r="K18" s="47" t="str">
        <f t="shared" si="0"/>
        <v/>
      </c>
      <c r="L18" s="99"/>
      <c r="M18" s="100"/>
      <c r="N18" s="101">
        <v>1</v>
      </c>
      <c r="O18" s="101">
        <v>550</v>
      </c>
      <c r="P18" s="101">
        <f>Table145[[#This Row],[14]]*Table145[[#This Row],[15]]</f>
        <v>550</v>
      </c>
      <c r="Q18" s="101" t="s">
        <v>77</v>
      </c>
      <c r="R18" s="102" t="s">
        <v>136</v>
      </c>
      <c r="S18" s="9"/>
    </row>
    <row r="19" spans="1:19" ht="30" x14ac:dyDescent="0.3">
      <c r="A19" s="7" t="str">
        <f>IF($C19&lt;&gt;"", SUBTOTAL(103,$C$6:C19), "")</f>
        <v/>
      </c>
      <c r="B19" s="41">
        <f t="shared" si="1"/>
        <v>5</v>
      </c>
      <c r="C19" s="36"/>
      <c r="D19" s="61"/>
      <c r="E19" s="37"/>
      <c r="F19" s="46"/>
      <c r="G19" s="46"/>
      <c r="H19" s="47"/>
      <c r="I19" s="46"/>
      <c r="J19" s="49"/>
      <c r="K19" s="47" t="str">
        <f t="shared" si="0"/>
        <v/>
      </c>
      <c r="L19" s="99"/>
      <c r="M19" s="100" t="s">
        <v>348</v>
      </c>
      <c r="N19" s="101">
        <v>1</v>
      </c>
      <c r="O19" s="101">
        <v>500</v>
      </c>
      <c r="P19" s="101">
        <f>Table145[[#This Row],[14]]*Table145[[#This Row],[15]]</f>
        <v>500</v>
      </c>
      <c r="Q19" s="101" t="s">
        <v>77</v>
      </c>
      <c r="R19" s="102" t="s">
        <v>136</v>
      </c>
      <c r="S19" s="9"/>
    </row>
    <row r="20" spans="1:19" x14ac:dyDescent="0.3">
      <c r="A20" s="7" t="str">
        <f>IF($C20&lt;&gt;"", SUBTOTAL(103,$C$6:C20), "")</f>
        <v/>
      </c>
      <c r="B20" s="41">
        <f t="shared" si="1"/>
        <v>5</v>
      </c>
      <c r="C20" s="36"/>
      <c r="D20" s="61"/>
      <c r="E20" s="37"/>
      <c r="F20" s="46"/>
      <c r="G20" s="46"/>
      <c r="H20" s="47"/>
      <c r="I20" s="46"/>
      <c r="J20" s="49"/>
      <c r="K20" s="47" t="str">
        <f t="shared" si="0"/>
        <v/>
      </c>
      <c r="L20" s="99"/>
      <c r="M20" s="100"/>
      <c r="N20" s="101">
        <v>2</v>
      </c>
      <c r="O20" s="101">
        <v>380</v>
      </c>
      <c r="P20" s="101">
        <f>Table145[[#This Row],[14]]*Table145[[#This Row],[15]]</f>
        <v>760</v>
      </c>
      <c r="Q20" s="101" t="s">
        <v>77</v>
      </c>
      <c r="R20" s="102" t="s">
        <v>136</v>
      </c>
      <c r="S20" s="9"/>
    </row>
    <row r="21" spans="1:19" ht="60" x14ac:dyDescent="0.3">
      <c r="A21" s="7" t="str">
        <f>IF($C21&lt;&gt;"", SUBTOTAL(103,$C$6:C21), "")</f>
        <v/>
      </c>
      <c r="B21" s="41">
        <f t="shared" si="1"/>
        <v>5</v>
      </c>
      <c r="C21" s="36"/>
      <c r="D21" s="61"/>
      <c r="E21" s="37"/>
      <c r="F21" s="46"/>
      <c r="G21" s="46"/>
      <c r="H21" s="47"/>
      <c r="I21" s="46"/>
      <c r="J21" s="49"/>
      <c r="K21" s="47" t="str">
        <f t="shared" si="0"/>
        <v/>
      </c>
      <c r="L21" s="103" t="s">
        <v>344</v>
      </c>
      <c r="M21" s="104" t="s">
        <v>349</v>
      </c>
      <c r="N21" s="105">
        <v>1</v>
      </c>
      <c r="O21" s="105">
        <v>500</v>
      </c>
      <c r="P21" s="105">
        <f>Table145[[#This Row],[14]]*Table145[[#This Row],[15]]</f>
        <v>500</v>
      </c>
      <c r="Q21" s="105" t="s">
        <v>77</v>
      </c>
      <c r="R21" s="106" t="s">
        <v>136</v>
      </c>
      <c r="S21" s="9" t="s">
        <v>350</v>
      </c>
    </row>
    <row r="22" spans="1:19" x14ac:dyDescent="0.3">
      <c r="A22" s="7" t="str">
        <f>IF($C22&lt;&gt;"", SUBTOTAL(103,$C$6:C22), "")</f>
        <v/>
      </c>
      <c r="B22" s="41">
        <f t="shared" si="1"/>
        <v>5</v>
      </c>
      <c r="C22" s="31"/>
      <c r="D22" s="60"/>
      <c r="E22" s="38"/>
      <c r="F22" s="32"/>
      <c r="G22" s="32"/>
      <c r="H22" s="39"/>
      <c r="I22" s="32"/>
      <c r="J22" s="51"/>
      <c r="K22" s="39" t="str">
        <f t="shared" si="0"/>
        <v/>
      </c>
      <c r="L22" s="107"/>
      <c r="M22" s="108"/>
      <c r="N22" s="109">
        <v>1</v>
      </c>
      <c r="O22" s="109">
        <v>380</v>
      </c>
      <c r="P22" s="109">
        <f>Table145[[#This Row],[14]]*Table145[[#This Row],[15]]</f>
        <v>380</v>
      </c>
      <c r="Q22" s="109" t="s">
        <v>77</v>
      </c>
      <c r="R22" s="110" t="s">
        <v>136</v>
      </c>
      <c r="S22" s="9"/>
    </row>
    <row r="23" spans="1:19" ht="60" x14ac:dyDescent="0.3">
      <c r="A23" s="7">
        <f>IF($C23&lt;&gt;"", SUBTOTAL(103,$C$6:C23), "")</f>
        <v>6</v>
      </c>
      <c r="B23" s="41">
        <v>6</v>
      </c>
      <c r="C23" s="19" t="s">
        <v>404</v>
      </c>
      <c r="D23" s="20"/>
      <c r="E23" s="20" t="s">
        <v>22</v>
      </c>
      <c r="F23" s="21" t="s">
        <v>406</v>
      </c>
      <c r="G23" s="21" t="s">
        <v>407</v>
      </c>
      <c r="H23" s="22">
        <v>44921</v>
      </c>
      <c r="I23" s="20" t="s">
        <v>408</v>
      </c>
      <c r="J23" s="22">
        <v>44925</v>
      </c>
      <c r="K23" s="22" t="str">
        <f t="shared" si="0"/>
        <v/>
      </c>
      <c r="L23" s="19" t="s">
        <v>409</v>
      </c>
      <c r="M23" s="19" t="s">
        <v>417</v>
      </c>
      <c r="N23" s="20">
        <v>1</v>
      </c>
      <c r="O23" s="20">
        <v>500</v>
      </c>
      <c r="P23" s="20">
        <f>Table145[[#This Row],[14]]*Table145[[#This Row],[15]]</f>
        <v>500</v>
      </c>
      <c r="Q23" s="20" t="s">
        <v>77</v>
      </c>
      <c r="R23" s="20" t="s">
        <v>136</v>
      </c>
      <c r="S23" s="9"/>
    </row>
    <row r="24" spans="1:19" ht="60" x14ac:dyDescent="0.3">
      <c r="A24" s="7">
        <f>IF($C24&lt;&gt;"", SUBTOTAL(103,$C$6:C24), "")</f>
        <v>7</v>
      </c>
      <c r="B24" s="41">
        <v>7</v>
      </c>
      <c r="C24" s="19" t="s">
        <v>405</v>
      </c>
      <c r="D24" s="20"/>
      <c r="E24" s="20" t="s">
        <v>22</v>
      </c>
      <c r="F24" s="111" t="s">
        <v>410</v>
      </c>
      <c r="G24" s="21" t="s">
        <v>411</v>
      </c>
      <c r="H24" s="22">
        <v>44921</v>
      </c>
      <c r="I24" s="20" t="s">
        <v>412</v>
      </c>
      <c r="J24" s="22">
        <v>44925</v>
      </c>
      <c r="K24" s="22" t="str">
        <f t="shared" si="0"/>
        <v/>
      </c>
      <c r="L24" s="19" t="s">
        <v>413</v>
      </c>
      <c r="M24" s="19" t="s">
        <v>418</v>
      </c>
      <c r="N24" s="20">
        <v>1</v>
      </c>
      <c r="O24" s="20">
        <v>200</v>
      </c>
      <c r="P24" s="20">
        <f>Table145[[#This Row],[14]]*Table145[[#This Row],[15]]</f>
        <v>200</v>
      </c>
      <c r="Q24" s="20" t="s">
        <v>77</v>
      </c>
      <c r="R24" s="20" t="s">
        <v>136</v>
      </c>
      <c r="S24" s="9"/>
    </row>
    <row r="25" spans="1:19" ht="60" x14ac:dyDescent="0.3">
      <c r="A25" s="7">
        <f>IF($C25&lt;&gt;"", SUBTOTAL(103,$C$6:C25), "")</f>
        <v>8</v>
      </c>
      <c r="B25" s="41">
        <v>8</v>
      </c>
      <c r="C25" s="25" t="s">
        <v>405</v>
      </c>
      <c r="D25" s="26"/>
      <c r="E25" s="26" t="s">
        <v>21</v>
      </c>
      <c r="F25" s="27" t="s">
        <v>414</v>
      </c>
      <c r="G25" s="27" t="s">
        <v>415</v>
      </c>
      <c r="H25" s="28">
        <v>44921</v>
      </c>
      <c r="I25" s="35" t="s">
        <v>416</v>
      </c>
      <c r="J25" s="28">
        <v>44942</v>
      </c>
      <c r="K25" s="28">
        <f t="shared" si="0"/>
        <v>46768</v>
      </c>
      <c r="L25" s="25" t="s">
        <v>413</v>
      </c>
      <c r="M25" s="25" t="s">
        <v>419</v>
      </c>
      <c r="N25" s="26">
        <v>2</v>
      </c>
      <c r="O25" s="26">
        <v>365</v>
      </c>
      <c r="P25" s="26">
        <f>Table145[[#This Row],[14]]*Table145[[#This Row],[15]]</f>
        <v>730</v>
      </c>
      <c r="Q25" s="26" t="s">
        <v>77</v>
      </c>
      <c r="R25" s="26" t="s">
        <v>136</v>
      </c>
      <c r="S25" s="9"/>
    </row>
    <row r="26" spans="1:19" x14ac:dyDescent="0.3">
      <c r="A26" s="7" t="str">
        <f>IF($C26&lt;&gt;"", SUBTOTAL(103,$C$6:C26), "")</f>
        <v/>
      </c>
      <c r="B26" s="41">
        <f t="shared" si="1"/>
        <v>8</v>
      </c>
      <c r="C26" s="36"/>
      <c r="D26" s="37"/>
      <c r="E26" s="37"/>
      <c r="F26" s="49"/>
      <c r="G26" s="46"/>
      <c r="H26" s="47"/>
      <c r="I26" s="37"/>
      <c r="J26" s="47"/>
      <c r="K26" s="47" t="str">
        <f t="shared" si="0"/>
        <v/>
      </c>
      <c r="L26" s="36"/>
      <c r="M26" s="36"/>
      <c r="N26" s="37">
        <v>1</v>
      </c>
      <c r="O26" s="37">
        <v>275</v>
      </c>
      <c r="P26" s="37">
        <f>Table145[[#This Row],[14]]*Table145[[#This Row],[15]]</f>
        <v>275</v>
      </c>
      <c r="Q26" s="37" t="s">
        <v>77</v>
      </c>
      <c r="R26" s="37" t="s">
        <v>136</v>
      </c>
      <c r="S26" s="8"/>
    </row>
    <row r="27" spans="1:19" ht="30" x14ac:dyDescent="0.3">
      <c r="A27" s="7" t="str">
        <f>IF($C27&lt;&gt;"", SUBTOTAL(103,$C$6:C27), "")</f>
        <v/>
      </c>
      <c r="B27" s="41">
        <f t="shared" si="1"/>
        <v>8</v>
      </c>
      <c r="C27" s="36"/>
      <c r="D27" s="61"/>
      <c r="E27" s="37"/>
      <c r="F27" s="46"/>
      <c r="G27" s="46"/>
      <c r="H27" s="47"/>
      <c r="I27" s="46"/>
      <c r="J27" s="49"/>
      <c r="K27" s="47" t="str">
        <f t="shared" si="0"/>
        <v/>
      </c>
      <c r="L27" s="52"/>
      <c r="M27" s="36" t="s">
        <v>420</v>
      </c>
      <c r="N27" s="37">
        <v>1</v>
      </c>
      <c r="O27" s="37">
        <v>275</v>
      </c>
      <c r="P27" s="37">
        <f>Table145[[#This Row],[14]]*Table145[[#This Row],[15]]</f>
        <v>275</v>
      </c>
      <c r="Q27" s="37" t="s">
        <v>77</v>
      </c>
      <c r="R27" s="37" t="s">
        <v>136</v>
      </c>
      <c r="S27" s="9"/>
    </row>
    <row r="28" spans="1:19" ht="30" x14ac:dyDescent="0.3">
      <c r="A28" s="7" t="str">
        <f>IF($C28&lt;&gt;"", SUBTOTAL(103,$C$6:C28), "")</f>
        <v/>
      </c>
      <c r="B28" s="41">
        <f t="shared" si="1"/>
        <v>8</v>
      </c>
      <c r="C28" s="31"/>
      <c r="D28" s="38"/>
      <c r="E28" s="38"/>
      <c r="F28" s="32"/>
      <c r="G28" s="32"/>
      <c r="H28" s="39"/>
      <c r="I28" s="32"/>
      <c r="J28" s="39"/>
      <c r="K28" s="39" t="str">
        <f t="shared" si="0"/>
        <v/>
      </c>
      <c r="L28" s="31"/>
      <c r="M28" s="31" t="s">
        <v>421</v>
      </c>
      <c r="N28" s="38">
        <v>1</v>
      </c>
      <c r="O28" s="38">
        <v>275</v>
      </c>
      <c r="P28" s="38">
        <f>Table145[[#This Row],[14]]*Table145[[#This Row],[15]]</f>
        <v>275</v>
      </c>
      <c r="Q28" s="38" t="s">
        <v>77</v>
      </c>
      <c r="R28" s="38" t="s">
        <v>136</v>
      </c>
      <c r="S28" s="9"/>
    </row>
    <row r="31" spans="1:19" ht="15" customHeight="1" x14ac:dyDescent="0.3">
      <c r="G31" s="87" t="s">
        <v>23</v>
      </c>
      <c r="H31" s="83">
        <f>COUNTIF($E$6:$E$28,"IUPTLS")</f>
        <v>4</v>
      </c>
      <c r="N31" s="132" t="s">
        <v>69</v>
      </c>
      <c r="O31" s="132"/>
      <c r="P31" s="133">
        <f>SUM($P$6:$P$28)-SUM(P21:P22)</f>
        <v>10702.5</v>
      </c>
    </row>
    <row r="32" spans="1:19" ht="15" customHeight="1" x14ac:dyDescent="0.3">
      <c r="G32" s="87" t="s">
        <v>24</v>
      </c>
      <c r="H32" s="84">
        <f>COUNTIF($E$6:$E$28,"SKTP")</f>
        <v>4</v>
      </c>
      <c r="N32" s="132"/>
      <c r="O32" s="132"/>
      <c r="P32" s="133"/>
    </row>
    <row r="33" spans="7:8" ht="15" customHeight="1" x14ac:dyDescent="0.3">
      <c r="G33" s="87" t="s">
        <v>25</v>
      </c>
      <c r="H33" s="82">
        <f>SUM(H31:H32)</f>
        <v>8</v>
      </c>
    </row>
  </sheetData>
  <mergeCells count="9">
    <mergeCell ref="S3:S4"/>
    <mergeCell ref="N31:O32"/>
    <mergeCell ref="P31:P32"/>
    <mergeCell ref="A1:R1"/>
    <mergeCell ref="A3:A4"/>
    <mergeCell ref="B3:B4"/>
    <mergeCell ref="C3:D3"/>
    <mergeCell ref="E3:K3"/>
    <mergeCell ref="L3:R3"/>
  </mergeCells>
  <conditionalFormatting sqref="C6:C28">
    <cfRule type="expression" dxfId="28" priority="7">
      <formula>AND($I6="",$C6&lt;&gt;"")</formula>
    </cfRule>
  </conditionalFormatting>
  <conditionalFormatting sqref="B6:B28">
    <cfRule type="expression" dxfId="27" priority="26">
      <formula>ISBLANK($B6:$B21)</formula>
    </cfRule>
  </conditionalFormatting>
  <conditionalFormatting sqref="I6:I28">
    <cfRule type="expression" dxfId="26" priority="1">
      <formula>TODAY()&gt;=$K6</formula>
    </cfRule>
    <cfRule type="expression" dxfId="25" priority="2">
      <formula>AND($K6&gt;=TODAY(),$K6&lt;=TODAY()+30)</formula>
    </cfRule>
  </conditionalFormatting>
  <pageMargins left="0.25" right="0.25" top="0.75" bottom="0.75" header="0.3" footer="0.3"/>
  <pageSetup paperSize="9" scale="37" fitToHeight="0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C0663-3E48-404F-8CCD-EE33B844DE55}">
  <sheetPr>
    <outlinePr summaryBelow="0" summaryRight="0"/>
    <pageSetUpPr fitToPage="1"/>
  </sheetPr>
  <dimension ref="A1:S19"/>
  <sheetViews>
    <sheetView topLeftCell="A4" zoomScale="55" zoomScaleNormal="55" zoomScaleSheetLayoutView="70" workbookViewId="0">
      <selection activeCell="G6" sqref="G6"/>
    </sheetView>
  </sheetViews>
  <sheetFormatPr defaultColWidth="8.88671875" defaultRowHeight="15" x14ac:dyDescent="0.3"/>
  <cols>
    <col min="1" max="1" width="7.109375" style="1" bestFit="1" customWidth="1"/>
    <col min="2" max="2" width="7.109375" style="1" customWidth="1"/>
    <col min="3" max="3" width="29.6640625" style="2" bestFit="1" customWidth="1"/>
    <col min="4" max="4" width="22.6640625" style="5" customWidth="1"/>
    <col min="5" max="5" width="9" style="1" bestFit="1" customWidth="1"/>
    <col min="6" max="6" width="30.109375" style="3" bestFit="1" customWidth="1"/>
    <col min="7" max="7" width="31.44140625" style="3" bestFit="1" customWidth="1"/>
    <col min="8" max="8" width="22.33203125" style="4" bestFit="1" customWidth="1"/>
    <col min="9" max="9" width="45.33203125" style="3" customWidth="1"/>
    <col min="10" max="11" width="21.6640625" style="4" customWidth="1"/>
    <col min="12" max="12" width="26.88671875" style="5" customWidth="1"/>
    <col min="13" max="13" width="18.88671875" style="5" bestFit="1" customWidth="1"/>
    <col min="14" max="14" width="9.44140625" style="1" bestFit="1" customWidth="1"/>
    <col min="15" max="15" width="12.33203125" style="1" bestFit="1" customWidth="1"/>
    <col min="16" max="16" width="16.5546875" style="6" bestFit="1" customWidth="1"/>
    <col min="17" max="17" width="11" style="1" bestFit="1" customWidth="1"/>
    <col min="18" max="18" width="15.44140625" style="1" bestFit="1" customWidth="1"/>
    <col min="19" max="19" width="17.33203125" style="2" bestFit="1" customWidth="1"/>
    <col min="20" max="16384" width="8.88671875" style="2"/>
  </cols>
  <sheetData>
    <row r="1" spans="1:19" ht="17.399999999999999" x14ac:dyDescent="0.3">
      <c r="A1" s="134" t="s">
        <v>62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</row>
    <row r="2" spans="1:19" x14ac:dyDescent="0.3">
      <c r="D2" s="2"/>
      <c r="F2" s="1"/>
      <c r="H2" s="1"/>
      <c r="J2" s="1"/>
      <c r="K2" s="1"/>
      <c r="L2" s="1"/>
      <c r="M2" s="1"/>
    </row>
    <row r="3" spans="1:19" ht="15.6" x14ac:dyDescent="0.3">
      <c r="A3" s="131" t="s">
        <v>3</v>
      </c>
      <c r="B3" s="131" t="s">
        <v>4</v>
      </c>
      <c r="C3" s="131" t="s">
        <v>0</v>
      </c>
      <c r="D3" s="131"/>
      <c r="E3" s="131" t="s">
        <v>1</v>
      </c>
      <c r="F3" s="131"/>
      <c r="G3" s="131"/>
      <c r="H3" s="131"/>
      <c r="I3" s="131"/>
      <c r="J3" s="131"/>
      <c r="K3" s="131"/>
      <c r="L3" s="131" t="s">
        <v>2</v>
      </c>
      <c r="M3" s="131"/>
      <c r="N3" s="131"/>
      <c r="O3" s="131"/>
      <c r="P3" s="131"/>
      <c r="Q3" s="131"/>
      <c r="R3" s="131"/>
      <c r="S3" s="131" t="s">
        <v>19</v>
      </c>
    </row>
    <row r="4" spans="1:19" s="1" customFormat="1" ht="46.8" x14ac:dyDescent="0.3">
      <c r="A4" s="131"/>
      <c r="B4" s="131"/>
      <c r="C4" s="42" t="s">
        <v>5</v>
      </c>
      <c r="D4" s="42" t="s">
        <v>6</v>
      </c>
      <c r="E4" s="42" t="s">
        <v>7</v>
      </c>
      <c r="F4" s="42" t="s">
        <v>8</v>
      </c>
      <c r="G4" s="42" t="s">
        <v>9</v>
      </c>
      <c r="H4" s="42" t="s">
        <v>10</v>
      </c>
      <c r="I4" s="43" t="s">
        <v>11</v>
      </c>
      <c r="J4" s="42" t="s">
        <v>12</v>
      </c>
      <c r="K4" s="42" t="s">
        <v>13</v>
      </c>
      <c r="L4" s="42" t="s">
        <v>14</v>
      </c>
      <c r="M4" s="42" t="s">
        <v>15</v>
      </c>
      <c r="N4" s="42" t="s">
        <v>16</v>
      </c>
      <c r="O4" s="43" t="s">
        <v>17</v>
      </c>
      <c r="P4" s="18" t="s">
        <v>69</v>
      </c>
      <c r="Q4" s="42" t="s">
        <v>7</v>
      </c>
      <c r="R4" s="42" t="s">
        <v>18</v>
      </c>
      <c r="S4" s="131"/>
    </row>
    <row r="5" spans="1:19" s="1" customFormat="1" x14ac:dyDescent="0.3">
      <c r="A5" s="10" t="s">
        <v>26</v>
      </c>
      <c r="B5" s="11" t="s">
        <v>27</v>
      </c>
      <c r="C5" s="11" t="s">
        <v>28</v>
      </c>
      <c r="D5" s="11" t="s">
        <v>29</v>
      </c>
      <c r="E5" s="11" t="s">
        <v>30</v>
      </c>
      <c r="F5" s="11" t="s">
        <v>31</v>
      </c>
      <c r="G5" s="11" t="s">
        <v>32</v>
      </c>
      <c r="H5" s="11" t="s">
        <v>33</v>
      </c>
      <c r="I5" s="44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1" t="s">
        <v>39</v>
      </c>
      <c r="O5" s="11" t="s">
        <v>40</v>
      </c>
      <c r="P5" s="12" t="s">
        <v>20</v>
      </c>
      <c r="Q5" s="11" t="s">
        <v>41</v>
      </c>
      <c r="R5" s="11" t="s">
        <v>42</v>
      </c>
      <c r="S5" s="13" t="s">
        <v>43</v>
      </c>
    </row>
    <row r="6" spans="1:19" ht="60" x14ac:dyDescent="0.3">
      <c r="A6" s="7">
        <f>IF($C6&lt;&gt;"", SUBTOTAL(103,$C$6:C6), "")</f>
        <v>1</v>
      </c>
      <c r="B6" s="41">
        <v>1</v>
      </c>
      <c r="C6" s="25" t="s">
        <v>422</v>
      </c>
      <c r="D6" s="26"/>
      <c r="E6" s="26" t="s">
        <v>21</v>
      </c>
      <c r="F6" s="27" t="s">
        <v>423</v>
      </c>
      <c r="G6" s="27" t="s">
        <v>424</v>
      </c>
      <c r="H6" s="28">
        <v>44739</v>
      </c>
      <c r="I6" s="35" t="s">
        <v>425</v>
      </c>
      <c r="J6" s="28">
        <v>44760</v>
      </c>
      <c r="K6" s="28">
        <f t="shared" ref="K6:K14" si="0">IF($E6="IUPTLS",IF(ISBLANK(J6), " ", DATE(YEAR(J6)+5,MONTH(J6),DAY(J6))),IF($E6="SKTP","",""))</f>
        <v>46586</v>
      </c>
      <c r="L6" s="25" t="s">
        <v>426</v>
      </c>
      <c r="M6" s="25" t="s">
        <v>427</v>
      </c>
      <c r="N6" s="26">
        <v>1</v>
      </c>
      <c r="O6" s="26">
        <v>2500</v>
      </c>
      <c r="P6" s="26">
        <f>Table1456[[#This Row],[14]]*Table1456[[#This Row],[15]]</f>
        <v>2500</v>
      </c>
      <c r="Q6" s="26" t="s">
        <v>304</v>
      </c>
      <c r="R6" s="26" t="s">
        <v>103</v>
      </c>
      <c r="S6" s="9"/>
    </row>
    <row r="7" spans="1:19" x14ac:dyDescent="0.3">
      <c r="A7" s="7" t="str">
        <f>IF($C7&lt;&gt;"", SUBTOTAL(103,$C$6:C7), "")</f>
        <v/>
      </c>
      <c r="B7" s="41">
        <f>B6</f>
        <v>1</v>
      </c>
      <c r="C7" s="36"/>
      <c r="D7" s="37"/>
      <c r="E7" s="37"/>
      <c r="F7" s="46"/>
      <c r="G7" s="46"/>
      <c r="H7" s="47"/>
      <c r="I7" s="37"/>
      <c r="J7" s="47"/>
      <c r="K7" s="47" t="str">
        <f t="shared" si="0"/>
        <v/>
      </c>
      <c r="L7" s="36"/>
      <c r="M7" s="36"/>
      <c r="N7" s="37">
        <v>3</v>
      </c>
      <c r="O7" s="37">
        <v>500</v>
      </c>
      <c r="P7" s="37">
        <f>Table1456[[#This Row],[14]]*Table1456[[#This Row],[15]]</f>
        <v>1500</v>
      </c>
      <c r="Q7" s="37" t="s">
        <v>77</v>
      </c>
      <c r="R7" s="37"/>
      <c r="S7" s="9"/>
    </row>
    <row r="8" spans="1:19" x14ac:dyDescent="0.3">
      <c r="A8" s="7" t="str">
        <f>IF($C8&lt;&gt;"", SUBTOTAL(103,$C$6:C8), "")</f>
        <v/>
      </c>
      <c r="B8" s="41">
        <f t="shared" ref="B8:B14" si="1">B7</f>
        <v>1</v>
      </c>
      <c r="C8" s="31"/>
      <c r="D8" s="38"/>
      <c r="E8" s="38"/>
      <c r="F8" s="51"/>
      <c r="G8" s="32"/>
      <c r="H8" s="39"/>
      <c r="I8" s="38"/>
      <c r="J8" s="39"/>
      <c r="K8" s="39" t="str">
        <f t="shared" si="0"/>
        <v/>
      </c>
      <c r="L8" s="31"/>
      <c r="M8" s="31"/>
      <c r="N8" s="38">
        <v>1</v>
      </c>
      <c r="O8" s="38">
        <v>90</v>
      </c>
      <c r="P8" s="38">
        <f>Table1456[[#This Row],[14]]*Table1456[[#This Row],[15]]</f>
        <v>90</v>
      </c>
      <c r="Q8" s="38" t="s">
        <v>77</v>
      </c>
      <c r="R8" s="38"/>
      <c r="S8" s="9"/>
    </row>
    <row r="9" spans="1:19" ht="45" x14ac:dyDescent="0.3">
      <c r="A9" s="7">
        <f>IF($C9&lt;&gt;"", SUBTOTAL(103,$C$6:C9), "")</f>
        <v>2</v>
      </c>
      <c r="B9" s="41">
        <v>2</v>
      </c>
      <c r="C9" s="25" t="s">
        <v>428</v>
      </c>
      <c r="D9" s="26"/>
      <c r="E9" s="26" t="s">
        <v>21</v>
      </c>
      <c r="F9" s="27" t="s">
        <v>430</v>
      </c>
      <c r="G9" s="27" t="s">
        <v>431</v>
      </c>
      <c r="H9" s="28">
        <v>44890</v>
      </c>
      <c r="I9" s="35" t="s">
        <v>432</v>
      </c>
      <c r="J9" s="28">
        <v>44896</v>
      </c>
      <c r="K9" s="28">
        <f t="shared" si="0"/>
        <v>46722</v>
      </c>
      <c r="L9" s="25" t="s">
        <v>433</v>
      </c>
      <c r="M9" s="25"/>
      <c r="N9" s="26">
        <v>1</v>
      </c>
      <c r="O9" s="26">
        <v>2500</v>
      </c>
      <c r="P9" s="26">
        <f>Table1456[[#This Row],[14]]*Table1456[[#This Row],[15]]</f>
        <v>2500</v>
      </c>
      <c r="Q9" s="26" t="s">
        <v>304</v>
      </c>
      <c r="R9" s="26" t="s">
        <v>136</v>
      </c>
      <c r="S9" s="9"/>
    </row>
    <row r="10" spans="1:19" x14ac:dyDescent="0.3">
      <c r="A10" s="7" t="str">
        <f>IF($C10&lt;&gt;"", SUBTOTAL(103,$C$6:C10), "")</f>
        <v/>
      </c>
      <c r="B10" s="41">
        <f t="shared" si="1"/>
        <v>2</v>
      </c>
      <c r="C10" s="36"/>
      <c r="D10" s="37"/>
      <c r="E10" s="37"/>
      <c r="F10" s="46"/>
      <c r="G10" s="46"/>
      <c r="H10" s="47"/>
      <c r="I10" s="37"/>
      <c r="J10" s="47"/>
      <c r="K10" s="47" t="str">
        <f t="shared" si="0"/>
        <v/>
      </c>
      <c r="L10" s="36"/>
      <c r="M10" s="36"/>
      <c r="N10" s="37">
        <v>1</v>
      </c>
      <c r="O10" s="37">
        <v>400</v>
      </c>
      <c r="P10" s="37">
        <f>Table1456[[#This Row],[14]]*Table1456[[#This Row],[15]]</f>
        <v>400</v>
      </c>
      <c r="Q10" s="37" t="s">
        <v>77</v>
      </c>
      <c r="R10" s="37" t="s">
        <v>136</v>
      </c>
      <c r="S10" s="9"/>
    </row>
    <row r="11" spans="1:19" x14ac:dyDescent="0.3">
      <c r="A11" s="7" t="str">
        <f>IF($C11&lt;&gt;"", SUBTOTAL(103,$C$6:C11), "")</f>
        <v/>
      </c>
      <c r="B11" s="41">
        <f t="shared" si="1"/>
        <v>2</v>
      </c>
      <c r="C11" s="31"/>
      <c r="D11" s="38"/>
      <c r="E11" s="38"/>
      <c r="F11" s="51"/>
      <c r="G11" s="32"/>
      <c r="H11" s="39"/>
      <c r="I11" s="38"/>
      <c r="J11" s="39"/>
      <c r="K11" s="39" t="str">
        <f t="shared" si="0"/>
        <v/>
      </c>
      <c r="L11" s="31"/>
      <c r="M11" s="31"/>
      <c r="N11" s="38">
        <v>1</v>
      </c>
      <c r="O11" s="38">
        <v>770</v>
      </c>
      <c r="P11" s="38">
        <f>Table1456[[#This Row],[14]]*Table1456[[#This Row],[15]]</f>
        <v>770</v>
      </c>
      <c r="Q11" s="38" t="s">
        <v>77</v>
      </c>
      <c r="R11" s="38" t="s">
        <v>136</v>
      </c>
      <c r="S11" s="9"/>
    </row>
    <row r="12" spans="1:19" ht="45" x14ac:dyDescent="0.3">
      <c r="A12" s="7">
        <f>IF($C12&lt;&gt;"", SUBTOTAL(103,$C$6:C12), "")</f>
        <v>3</v>
      </c>
      <c r="B12" s="41">
        <v>3</v>
      </c>
      <c r="C12" s="25" t="s">
        <v>429</v>
      </c>
      <c r="D12" s="26"/>
      <c r="E12" s="26" t="s">
        <v>21</v>
      </c>
      <c r="F12" s="27" t="s">
        <v>434</v>
      </c>
      <c r="G12" s="27" t="s">
        <v>435</v>
      </c>
      <c r="H12" s="28">
        <v>44890</v>
      </c>
      <c r="I12" s="35" t="s">
        <v>436</v>
      </c>
      <c r="J12" s="28">
        <v>44896</v>
      </c>
      <c r="K12" s="28">
        <f t="shared" si="0"/>
        <v>46722</v>
      </c>
      <c r="L12" s="25" t="s">
        <v>437</v>
      </c>
      <c r="M12" s="25" t="s">
        <v>438</v>
      </c>
      <c r="N12" s="26">
        <v>1</v>
      </c>
      <c r="O12" s="26">
        <v>2135</v>
      </c>
      <c r="P12" s="26">
        <f>Table1456[[#This Row],[14]]*Table1456[[#This Row],[15]]</f>
        <v>2135</v>
      </c>
      <c r="Q12" s="26" t="s">
        <v>304</v>
      </c>
      <c r="R12" s="26" t="s">
        <v>136</v>
      </c>
      <c r="S12" s="9"/>
    </row>
    <row r="13" spans="1:19" x14ac:dyDescent="0.3">
      <c r="A13" s="7" t="str">
        <f>IF($C13&lt;&gt;"", SUBTOTAL(103,$C$6:C13), "")</f>
        <v/>
      </c>
      <c r="B13" s="41">
        <f t="shared" si="1"/>
        <v>3</v>
      </c>
      <c r="C13" s="36"/>
      <c r="D13" s="37"/>
      <c r="E13" s="37"/>
      <c r="F13" s="46"/>
      <c r="G13" s="46"/>
      <c r="H13" s="47"/>
      <c r="I13" s="37"/>
      <c r="J13" s="47"/>
      <c r="K13" s="47" t="str">
        <f t="shared" si="0"/>
        <v/>
      </c>
      <c r="L13" s="36"/>
      <c r="M13" s="36"/>
      <c r="N13" s="37">
        <v>1</v>
      </c>
      <c r="O13" s="37">
        <v>275</v>
      </c>
      <c r="P13" s="37">
        <f>Table1456[[#This Row],[14]]*Table1456[[#This Row],[15]]</f>
        <v>275</v>
      </c>
      <c r="Q13" s="37" t="s">
        <v>77</v>
      </c>
      <c r="R13" s="37" t="s">
        <v>136</v>
      </c>
      <c r="S13" s="9"/>
    </row>
    <row r="14" spans="1:19" x14ac:dyDescent="0.3">
      <c r="A14" s="7" t="str">
        <f>IF($C14&lt;&gt;"", SUBTOTAL(103,$C$6:C14), "")</f>
        <v/>
      </c>
      <c r="B14" s="41">
        <f t="shared" si="1"/>
        <v>3</v>
      </c>
      <c r="C14" s="31"/>
      <c r="D14" s="38"/>
      <c r="E14" s="38"/>
      <c r="F14" s="51"/>
      <c r="G14" s="32"/>
      <c r="H14" s="39"/>
      <c r="I14" s="38"/>
      <c r="J14" s="39"/>
      <c r="K14" s="39" t="str">
        <f t="shared" si="0"/>
        <v/>
      </c>
      <c r="L14" s="31"/>
      <c r="M14" s="31"/>
      <c r="N14" s="38">
        <v>2</v>
      </c>
      <c r="O14" s="38">
        <v>500</v>
      </c>
      <c r="P14" s="38">
        <f>Table1456[[#This Row],[14]]*Table1456[[#This Row],[15]]</f>
        <v>1000</v>
      </c>
      <c r="Q14" s="38" t="s">
        <v>77</v>
      </c>
      <c r="R14" s="38" t="s">
        <v>136</v>
      </c>
      <c r="S14" s="9"/>
    </row>
    <row r="17" spans="7:16" ht="15" customHeight="1" x14ac:dyDescent="0.3">
      <c r="G17" s="87" t="s">
        <v>23</v>
      </c>
      <c r="H17" s="83">
        <f>COUNTIF($E$6:$E$14,"IUPTLS")</f>
        <v>3</v>
      </c>
      <c r="N17" s="132" t="s">
        <v>69</v>
      </c>
      <c r="O17" s="132"/>
      <c r="P17" s="133">
        <f>SUM($P$6:$P$14)</f>
        <v>11170</v>
      </c>
    </row>
    <row r="18" spans="7:16" ht="15" customHeight="1" x14ac:dyDescent="0.3">
      <c r="G18" s="87" t="s">
        <v>24</v>
      </c>
      <c r="H18" s="84">
        <f>COUNTIF($E$6:$E$14,"SKTP")</f>
        <v>0</v>
      </c>
      <c r="N18" s="132"/>
      <c r="O18" s="132"/>
      <c r="P18" s="133"/>
    </row>
    <row r="19" spans="7:16" ht="15" customHeight="1" x14ac:dyDescent="0.3">
      <c r="G19" s="87" t="s">
        <v>25</v>
      </c>
      <c r="H19" s="82">
        <f>SUM(H17:H18)</f>
        <v>3</v>
      </c>
    </row>
  </sheetData>
  <mergeCells count="9">
    <mergeCell ref="S3:S4"/>
    <mergeCell ref="N17:O18"/>
    <mergeCell ref="P17:P18"/>
    <mergeCell ref="A1:R1"/>
    <mergeCell ref="A3:A4"/>
    <mergeCell ref="B3:B4"/>
    <mergeCell ref="C3:D3"/>
    <mergeCell ref="E3:K3"/>
    <mergeCell ref="L3:R3"/>
  </mergeCells>
  <conditionalFormatting sqref="C6:C14">
    <cfRule type="expression" dxfId="24" priority="8">
      <formula>AND(ISBLANK($I6),$C6&lt;&gt;"")</formula>
    </cfRule>
  </conditionalFormatting>
  <conditionalFormatting sqref="I6:I14">
    <cfRule type="expression" dxfId="23" priority="3">
      <formula>TODAY()&gt;=$K6</formula>
    </cfRule>
    <cfRule type="expression" dxfId="22" priority="4">
      <formula>AND($K6&gt;=TODAY(),$K6&lt;=TODAY()+30)</formula>
    </cfRule>
  </conditionalFormatting>
  <conditionalFormatting sqref="B6:B14">
    <cfRule type="expression" dxfId="21" priority="32">
      <formula>ISBLANK($B6:$B65)</formula>
    </cfRule>
  </conditionalFormatting>
  <pageMargins left="0.25" right="0.25" top="0.75" bottom="0.75" header="0.3" footer="0.3"/>
  <pageSetup paperSize="9" scale="37" fitToHeight="0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F4F15-004E-4C34-A0AC-201E31B479CC}">
  <sheetPr>
    <outlinePr summaryBelow="0" summaryRight="0"/>
    <pageSetUpPr fitToPage="1"/>
  </sheetPr>
  <dimension ref="A1:S21"/>
  <sheetViews>
    <sheetView zoomScale="55" zoomScaleNormal="55" zoomScaleSheetLayoutView="70" workbookViewId="0">
      <selection activeCell="G6" sqref="G6"/>
    </sheetView>
  </sheetViews>
  <sheetFormatPr defaultColWidth="8.88671875" defaultRowHeight="15" x14ac:dyDescent="0.3"/>
  <cols>
    <col min="1" max="1" width="7.109375" style="1" bestFit="1" customWidth="1"/>
    <col min="2" max="2" width="7.109375" style="1" customWidth="1"/>
    <col min="3" max="3" width="29.6640625" style="2" bestFit="1" customWidth="1"/>
    <col min="4" max="4" width="22.6640625" style="5" customWidth="1"/>
    <col min="5" max="5" width="9" style="1" bestFit="1" customWidth="1"/>
    <col min="6" max="6" width="30.109375" style="3" bestFit="1" customWidth="1"/>
    <col min="7" max="7" width="31.44140625" style="3" bestFit="1" customWidth="1"/>
    <col min="8" max="8" width="21" style="4" bestFit="1" customWidth="1"/>
    <col min="9" max="9" width="45.33203125" style="3" customWidth="1"/>
    <col min="10" max="11" width="21.6640625" style="4" customWidth="1"/>
    <col min="12" max="12" width="26.88671875" style="5" customWidth="1"/>
    <col min="13" max="13" width="18.88671875" style="5" bestFit="1" customWidth="1"/>
    <col min="14" max="14" width="9.33203125" style="1" bestFit="1" customWidth="1"/>
    <col min="15" max="15" width="12.109375" style="1" bestFit="1" customWidth="1"/>
    <col min="16" max="16" width="16.44140625" style="6" bestFit="1" customWidth="1"/>
    <col min="17" max="17" width="11" style="1" bestFit="1" customWidth="1"/>
    <col min="18" max="18" width="15.44140625" style="1" bestFit="1" customWidth="1"/>
    <col min="19" max="19" width="34.33203125" style="2" customWidth="1"/>
    <col min="20" max="16384" width="8.88671875" style="2"/>
  </cols>
  <sheetData>
    <row r="1" spans="1:19" ht="21" x14ac:dyDescent="0.3">
      <c r="A1" s="135" t="s">
        <v>63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</row>
    <row r="2" spans="1:19" x14ac:dyDescent="0.3">
      <c r="D2" s="2"/>
      <c r="F2" s="1"/>
      <c r="H2" s="1"/>
      <c r="J2" s="1"/>
      <c r="K2" s="1"/>
      <c r="L2" s="1"/>
      <c r="M2" s="1"/>
    </row>
    <row r="3" spans="1:19" ht="15.6" x14ac:dyDescent="0.3">
      <c r="A3" s="131" t="s">
        <v>3</v>
      </c>
      <c r="B3" s="131" t="s">
        <v>4</v>
      </c>
      <c r="C3" s="131" t="s">
        <v>0</v>
      </c>
      <c r="D3" s="131"/>
      <c r="E3" s="131" t="s">
        <v>1</v>
      </c>
      <c r="F3" s="131"/>
      <c r="G3" s="131"/>
      <c r="H3" s="131"/>
      <c r="I3" s="131"/>
      <c r="J3" s="131"/>
      <c r="K3" s="131"/>
      <c r="L3" s="131" t="s">
        <v>2</v>
      </c>
      <c r="M3" s="131"/>
      <c r="N3" s="131"/>
      <c r="O3" s="131"/>
      <c r="P3" s="131"/>
      <c r="Q3" s="131"/>
      <c r="R3" s="131"/>
      <c r="S3" s="131" t="s">
        <v>19</v>
      </c>
    </row>
    <row r="4" spans="1:19" s="1" customFormat="1" ht="46.8" x14ac:dyDescent="0.3">
      <c r="A4" s="131"/>
      <c r="B4" s="131"/>
      <c r="C4" s="42" t="s">
        <v>5</v>
      </c>
      <c r="D4" s="42" t="s">
        <v>6</v>
      </c>
      <c r="E4" s="42" t="s">
        <v>7</v>
      </c>
      <c r="F4" s="42" t="s">
        <v>8</v>
      </c>
      <c r="G4" s="42" t="s">
        <v>9</v>
      </c>
      <c r="H4" s="42" t="s">
        <v>10</v>
      </c>
      <c r="I4" s="43" t="s">
        <v>11</v>
      </c>
      <c r="J4" s="42" t="s">
        <v>12</v>
      </c>
      <c r="K4" s="42" t="s">
        <v>13</v>
      </c>
      <c r="L4" s="42" t="s">
        <v>14</v>
      </c>
      <c r="M4" s="42" t="s">
        <v>15</v>
      </c>
      <c r="N4" s="42" t="s">
        <v>16</v>
      </c>
      <c r="O4" s="43" t="s">
        <v>17</v>
      </c>
      <c r="P4" s="18" t="s">
        <v>69</v>
      </c>
      <c r="Q4" s="42" t="s">
        <v>7</v>
      </c>
      <c r="R4" s="42" t="s">
        <v>18</v>
      </c>
      <c r="S4" s="131"/>
    </row>
    <row r="5" spans="1:19" s="1" customFormat="1" x14ac:dyDescent="0.3">
      <c r="A5" s="10" t="s">
        <v>26</v>
      </c>
      <c r="B5" s="11" t="s">
        <v>27</v>
      </c>
      <c r="C5" s="11" t="s">
        <v>28</v>
      </c>
      <c r="D5" s="11" t="s">
        <v>29</v>
      </c>
      <c r="E5" s="11" t="s">
        <v>30</v>
      </c>
      <c r="F5" s="11" t="s">
        <v>31</v>
      </c>
      <c r="G5" s="11" t="s">
        <v>32</v>
      </c>
      <c r="H5" s="11" t="s">
        <v>33</v>
      </c>
      <c r="I5" s="44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1" t="s">
        <v>39</v>
      </c>
      <c r="O5" s="11" t="s">
        <v>40</v>
      </c>
      <c r="P5" s="12" t="s">
        <v>20</v>
      </c>
      <c r="Q5" s="11" t="s">
        <v>41</v>
      </c>
      <c r="R5" s="11" t="s">
        <v>42</v>
      </c>
      <c r="S5" s="13" t="s">
        <v>43</v>
      </c>
    </row>
    <row r="6" spans="1:19" ht="45" x14ac:dyDescent="0.3">
      <c r="A6" s="7">
        <f>IF($C6&lt;&gt;"", SUBTOTAL(103,$C$6:C6), "")</f>
        <v>1</v>
      </c>
      <c r="B6" s="41">
        <v>1</v>
      </c>
      <c r="C6" s="25" t="s">
        <v>439</v>
      </c>
      <c r="D6" s="26"/>
      <c r="E6" s="26" t="s">
        <v>21</v>
      </c>
      <c r="F6" s="27" t="s">
        <v>440</v>
      </c>
      <c r="G6" s="27" t="s">
        <v>441</v>
      </c>
      <c r="H6" s="28">
        <v>44739</v>
      </c>
      <c r="I6" s="35" t="s">
        <v>442</v>
      </c>
      <c r="J6" s="28">
        <v>44742</v>
      </c>
      <c r="K6" s="28">
        <f t="shared" ref="K6:K16" si="0">IF($E6="IUPTLS",IF(ISBLANK(J6), " ", DATE(YEAR(J6)+5,MONTH(J6),DAY(J6))),IF($E6="SKTP","",""))</f>
        <v>46568</v>
      </c>
      <c r="L6" s="25" t="s">
        <v>443</v>
      </c>
      <c r="M6" s="25" t="s">
        <v>444</v>
      </c>
      <c r="N6" s="26">
        <v>1</v>
      </c>
      <c r="O6" s="26">
        <v>1500</v>
      </c>
      <c r="P6" s="26">
        <f>Table14567[[#This Row],[14]]*Table14567[[#This Row],[15]]</f>
        <v>1500</v>
      </c>
      <c r="Q6" s="26" t="s">
        <v>304</v>
      </c>
      <c r="R6" s="26" t="s">
        <v>136</v>
      </c>
      <c r="S6" s="9"/>
    </row>
    <row r="7" spans="1:19" ht="45" x14ac:dyDescent="0.3">
      <c r="A7" s="7">
        <f>IF($C7&lt;&gt;"", SUBTOTAL(103,$C$6:C7), "")</f>
        <v>2</v>
      </c>
      <c r="B7" s="41">
        <v>2</v>
      </c>
      <c r="C7" s="25" t="s">
        <v>445</v>
      </c>
      <c r="D7" s="59"/>
      <c r="E7" s="26" t="s">
        <v>21</v>
      </c>
      <c r="F7" s="93" t="s">
        <v>446</v>
      </c>
      <c r="G7" s="27" t="s">
        <v>447</v>
      </c>
      <c r="H7" s="28">
        <v>44826</v>
      </c>
      <c r="I7" s="45" t="s">
        <v>448</v>
      </c>
      <c r="J7" s="30">
        <v>44838</v>
      </c>
      <c r="K7" s="28">
        <f t="shared" si="0"/>
        <v>46664</v>
      </c>
      <c r="L7" s="25" t="s">
        <v>449</v>
      </c>
      <c r="M7" s="25" t="s">
        <v>450</v>
      </c>
      <c r="N7" s="27">
        <v>2</v>
      </c>
      <c r="O7" s="27">
        <v>2500</v>
      </c>
      <c r="P7" s="27">
        <f>Table14567[[#This Row],[14]]*Table14567[[#This Row],[15]]</f>
        <v>5000</v>
      </c>
      <c r="Q7" s="27" t="s">
        <v>304</v>
      </c>
      <c r="R7" s="26" t="s">
        <v>325</v>
      </c>
      <c r="S7" s="9"/>
    </row>
    <row r="8" spans="1:19" x14ac:dyDescent="0.3">
      <c r="A8" s="7" t="str">
        <f>IF($C8&lt;&gt;"", SUBTOTAL(103,$C$6:C8), "")</f>
        <v/>
      </c>
      <c r="B8" s="41">
        <f>B7</f>
        <v>2</v>
      </c>
      <c r="C8" s="36"/>
      <c r="D8" s="37"/>
      <c r="E8" s="37"/>
      <c r="F8" s="90"/>
      <c r="G8" s="46"/>
      <c r="H8" s="47"/>
      <c r="I8" s="46"/>
      <c r="J8" s="49"/>
      <c r="K8" s="47" t="str">
        <f t="shared" si="0"/>
        <v/>
      </c>
      <c r="L8" s="36"/>
      <c r="M8" s="36"/>
      <c r="N8" s="46">
        <v>2</v>
      </c>
      <c r="O8" s="46">
        <v>640</v>
      </c>
      <c r="P8" s="46">
        <f>Table14567[[#This Row],[14]]*Table14567[[#This Row],[15]]</f>
        <v>1280</v>
      </c>
      <c r="Q8" s="46" t="s">
        <v>77</v>
      </c>
      <c r="R8" s="37"/>
      <c r="S8" s="9"/>
    </row>
    <row r="9" spans="1:19" x14ac:dyDescent="0.3">
      <c r="A9" s="7" t="str">
        <f>IF($C9&lt;&gt;"", SUBTOTAL(103,$C$6:C9), "")</f>
        <v/>
      </c>
      <c r="B9" s="41">
        <f t="shared" ref="B9:B16" si="1">B8</f>
        <v>2</v>
      </c>
      <c r="C9" s="31"/>
      <c r="D9" s="38"/>
      <c r="E9" s="38"/>
      <c r="F9" s="32"/>
      <c r="G9" s="32"/>
      <c r="H9" s="39"/>
      <c r="I9" s="38"/>
      <c r="J9" s="39"/>
      <c r="K9" s="39" t="str">
        <f t="shared" si="0"/>
        <v/>
      </c>
      <c r="L9" s="31"/>
      <c r="M9" s="31"/>
      <c r="N9" s="32">
        <v>1</v>
      </c>
      <c r="O9" s="32">
        <v>500</v>
      </c>
      <c r="P9" s="32">
        <f>Table14567[[#This Row],[14]]*Table14567[[#This Row],[15]]</f>
        <v>500</v>
      </c>
      <c r="Q9" s="32" t="s">
        <v>77</v>
      </c>
      <c r="R9" s="38"/>
      <c r="S9" s="9"/>
    </row>
    <row r="10" spans="1:19" ht="45" x14ac:dyDescent="0.3">
      <c r="A10" s="7">
        <f>IF($C10&lt;&gt;"", SUBTOTAL(103,$C$6:C10), "")</f>
        <v>3</v>
      </c>
      <c r="B10" s="41">
        <v>3</v>
      </c>
      <c r="C10" s="25" t="s">
        <v>451</v>
      </c>
      <c r="D10" s="59"/>
      <c r="E10" s="26" t="s">
        <v>21</v>
      </c>
      <c r="F10" s="27" t="s">
        <v>452</v>
      </c>
      <c r="G10" s="27" t="s">
        <v>453</v>
      </c>
      <c r="H10" s="28">
        <v>44866</v>
      </c>
      <c r="I10" s="45" t="s">
        <v>454</v>
      </c>
      <c r="J10" s="30">
        <v>44876</v>
      </c>
      <c r="K10" s="28">
        <f t="shared" si="0"/>
        <v>46702</v>
      </c>
      <c r="L10" s="88" t="s">
        <v>455</v>
      </c>
      <c r="M10" s="25" t="s">
        <v>456</v>
      </c>
      <c r="N10" s="27">
        <v>2</v>
      </c>
      <c r="O10" s="27">
        <v>500</v>
      </c>
      <c r="P10" s="27">
        <f>Table14567[[#This Row],[14]]*Table14567[[#This Row],[15]]</f>
        <v>1000</v>
      </c>
      <c r="Q10" s="27" t="s">
        <v>77</v>
      </c>
      <c r="R10" s="26" t="s">
        <v>136</v>
      </c>
      <c r="S10" s="9"/>
    </row>
    <row r="11" spans="1:19" x14ac:dyDescent="0.3">
      <c r="A11" s="7" t="str">
        <f>IF($C11&lt;&gt;"", SUBTOTAL(103,$C$6:C11), "")</f>
        <v/>
      </c>
      <c r="B11" s="41">
        <f t="shared" si="1"/>
        <v>3</v>
      </c>
      <c r="C11" s="36"/>
      <c r="D11" s="61"/>
      <c r="E11" s="37"/>
      <c r="F11" s="46"/>
      <c r="G11" s="46"/>
      <c r="H11" s="47"/>
      <c r="I11" s="46"/>
      <c r="J11" s="49"/>
      <c r="K11" s="47" t="str">
        <f t="shared" si="0"/>
        <v/>
      </c>
      <c r="L11" s="52"/>
      <c r="M11" s="36"/>
      <c r="N11" s="46">
        <v>1</v>
      </c>
      <c r="O11" s="46">
        <v>550</v>
      </c>
      <c r="P11" s="46">
        <f>Table14567[[#This Row],[14]]*Table14567[[#This Row],[15]]</f>
        <v>550</v>
      </c>
      <c r="Q11" s="46" t="s">
        <v>77</v>
      </c>
      <c r="R11" s="37" t="s">
        <v>136</v>
      </c>
      <c r="S11" s="70"/>
    </row>
    <row r="12" spans="1:19" ht="30" x14ac:dyDescent="0.3">
      <c r="A12" s="7" t="str">
        <f>IF($C12&lt;&gt;"", SUBTOTAL(103,$C$6:C12), "")</f>
        <v/>
      </c>
      <c r="B12" s="41">
        <f t="shared" si="1"/>
        <v>3</v>
      </c>
      <c r="C12" s="36"/>
      <c r="D12" s="37"/>
      <c r="E12" s="37"/>
      <c r="F12" s="49"/>
      <c r="G12" s="46"/>
      <c r="H12" s="47"/>
      <c r="I12" s="37"/>
      <c r="J12" s="47"/>
      <c r="K12" s="47" t="str">
        <f t="shared" si="0"/>
        <v/>
      </c>
      <c r="L12" s="36"/>
      <c r="M12" s="36" t="s">
        <v>457</v>
      </c>
      <c r="N12" s="37">
        <v>2</v>
      </c>
      <c r="O12" s="37">
        <v>500</v>
      </c>
      <c r="P12" s="37">
        <f>Table14567[[#This Row],[14]]*Table14567[[#This Row],[15]]</f>
        <v>1000</v>
      </c>
      <c r="Q12" s="46" t="s">
        <v>77</v>
      </c>
      <c r="R12" s="37" t="s">
        <v>136</v>
      </c>
      <c r="S12" s="70"/>
    </row>
    <row r="13" spans="1:19" ht="30" x14ac:dyDescent="0.3">
      <c r="A13" s="7" t="str">
        <f>IF($C13&lt;&gt;"", SUBTOTAL(103,$C$6:C13), "")</f>
        <v/>
      </c>
      <c r="B13" s="41">
        <f t="shared" si="1"/>
        <v>3</v>
      </c>
      <c r="C13" s="36"/>
      <c r="D13" s="61"/>
      <c r="E13" s="37"/>
      <c r="F13" s="46"/>
      <c r="G13" s="46"/>
      <c r="H13" s="47"/>
      <c r="I13" s="46"/>
      <c r="J13" s="49"/>
      <c r="K13" s="47" t="str">
        <f t="shared" si="0"/>
        <v/>
      </c>
      <c r="L13" s="52"/>
      <c r="M13" s="36" t="s">
        <v>458</v>
      </c>
      <c r="N13" s="46">
        <v>2</v>
      </c>
      <c r="O13" s="46">
        <v>500</v>
      </c>
      <c r="P13" s="46">
        <f>Table14567[[#This Row],[14]]*Table14567[[#This Row],[15]]</f>
        <v>1000</v>
      </c>
      <c r="Q13" s="46" t="s">
        <v>77</v>
      </c>
      <c r="R13" s="37" t="s">
        <v>136</v>
      </c>
      <c r="S13" s="70"/>
    </row>
    <row r="14" spans="1:19" ht="30" x14ac:dyDescent="0.3">
      <c r="A14" s="7" t="str">
        <f>IF($C14&lt;&gt;"", SUBTOTAL(103,$C$6:C14), "")</f>
        <v/>
      </c>
      <c r="B14" s="41">
        <f t="shared" si="1"/>
        <v>3</v>
      </c>
      <c r="C14" s="36"/>
      <c r="D14" s="61"/>
      <c r="E14" s="37"/>
      <c r="F14" s="90"/>
      <c r="G14" s="46"/>
      <c r="H14" s="47"/>
      <c r="I14" s="46"/>
      <c r="J14" s="49"/>
      <c r="K14" s="47" t="str">
        <f t="shared" si="0"/>
        <v/>
      </c>
      <c r="L14" s="52"/>
      <c r="M14" s="36" t="s">
        <v>459</v>
      </c>
      <c r="N14" s="46">
        <v>1</v>
      </c>
      <c r="O14" s="46">
        <v>500</v>
      </c>
      <c r="P14" s="46">
        <f>Table14567[[#This Row],[14]]*Table14567[[#This Row],[15]]</f>
        <v>500</v>
      </c>
      <c r="Q14" s="46" t="s">
        <v>77</v>
      </c>
      <c r="R14" s="37" t="s">
        <v>136</v>
      </c>
      <c r="S14" s="70"/>
    </row>
    <row r="15" spans="1:19" ht="30" x14ac:dyDescent="0.3">
      <c r="A15" s="7" t="str">
        <f>IF($C15&lt;&gt;"", SUBTOTAL(103,$C$6:C15), "")</f>
        <v/>
      </c>
      <c r="B15" s="41">
        <f t="shared" si="1"/>
        <v>3</v>
      </c>
      <c r="C15" s="36"/>
      <c r="D15" s="37"/>
      <c r="E15" s="37"/>
      <c r="F15" s="49"/>
      <c r="G15" s="46"/>
      <c r="H15" s="47"/>
      <c r="I15" s="37"/>
      <c r="J15" s="47"/>
      <c r="K15" s="47" t="str">
        <f t="shared" si="0"/>
        <v/>
      </c>
      <c r="L15" s="36"/>
      <c r="M15" s="36" t="s">
        <v>460</v>
      </c>
      <c r="N15" s="37">
        <v>1</v>
      </c>
      <c r="O15" s="37">
        <v>400</v>
      </c>
      <c r="P15" s="37">
        <f>Table14567[[#This Row],[14]]*Table14567[[#This Row],[15]]</f>
        <v>400</v>
      </c>
      <c r="Q15" s="46" t="s">
        <v>77</v>
      </c>
      <c r="R15" s="37" t="s">
        <v>136</v>
      </c>
      <c r="S15" s="70"/>
    </row>
    <row r="16" spans="1:19" x14ac:dyDescent="0.3">
      <c r="A16" s="7" t="str">
        <f>IF($C16&lt;&gt;"", SUBTOTAL(103,$C$6:C16), "")</f>
        <v/>
      </c>
      <c r="B16" s="41">
        <f t="shared" si="1"/>
        <v>3</v>
      </c>
      <c r="C16" s="31"/>
      <c r="D16" s="38"/>
      <c r="E16" s="38"/>
      <c r="F16" s="51"/>
      <c r="G16" s="32"/>
      <c r="H16" s="39"/>
      <c r="I16" s="38"/>
      <c r="J16" s="39"/>
      <c r="K16" s="39" t="str">
        <f t="shared" si="0"/>
        <v/>
      </c>
      <c r="L16" s="31"/>
      <c r="M16" s="31"/>
      <c r="N16" s="38">
        <v>1</v>
      </c>
      <c r="O16" s="38">
        <v>380</v>
      </c>
      <c r="P16" s="38">
        <f>Table14567[[#This Row],[14]]*Table14567[[#This Row],[15]]</f>
        <v>380</v>
      </c>
      <c r="Q16" s="32" t="s">
        <v>77</v>
      </c>
      <c r="R16" s="38" t="s">
        <v>136</v>
      </c>
      <c r="S16" s="23"/>
    </row>
    <row r="19" spans="6:19" ht="15" customHeight="1" x14ac:dyDescent="0.3">
      <c r="G19" s="87" t="s">
        <v>23</v>
      </c>
      <c r="H19" s="83">
        <f>COUNTIF($E$6:$E$16,"IUPTLS")</f>
        <v>3</v>
      </c>
      <c r="N19" s="132" t="s">
        <v>69</v>
      </c>
      <c r="O19" s="132"/>
      <c r="P19" s="133">
        <f>SUM($P$6:$P$16)</f>
        <v>13110</v>
      </c>
    </row>
    <row r="20" spans="6:19" s="1" customFormat="1" ht="15" customHeight="1" x14ac:dyDescent="0.3">
      <c r="F20" s="3"/>
      <c r="G20" s="87" t="s">
        <v>24</v>
      </c>
      <c r="H20" s="84">
        <f>COUNTIF($E$6:$E$16,"SKTP")</f>
        <v>0</v>
      </c>
      <c r="I20" s="3"/>
      <c r="J20" s="4"/>
      <c r="K20" s="4"/>
      <c r="L20" s="5"/>
      <c r="M20" s="5"/>
      <c r="N20" s="132"/>
      <c r="O20" s="132"/>
      <c r="P20" s="133"/>
      <c r="S20" s="2"/>
    </row>
    <row r="21" spans="6:19" s="1" customFormat="1" ht="15" customHeight="1" x14ac:dyDescent="0.3">
      <c r="F21" s="3"/>
      <c r="G21" s="87" t="s">
        <v>25</v>
      </c>
      <c r="H21" s="82">
        <f>SUM(H19:H20)</f>
        <v>3</v>
      </c>
      <c r="I21" s="3"/>
      <c r="J21" s="4"/>
      <c r="K21" s="4"/>
      <c r="L21" s="5"/>
      <c r="M21" s="5"/>
      <c r="P21" s="6"/>
      <c r="S21" s="2"/>
    </row>
  </sheetData>
  <mergeCells count="9">
    <mergeCell ref="S3:S4"/>
    <mergeCell ref="N19:O20"/>
    <mergeCell ref="P19:P20"/>
    <mergeCell ref="A1:R1"/>
    <mergeCell ref="A3:A4"/>
    <mergeCell ref="B3:B4"/>
    <mergeCell ref="C3:D3"/>
    <mergeCell ref="E3:K3"/>
    <mergeCell ref="L3:R3"/>
  </mergeCells>
  <conditionalFormatting sqref="C6:C16">
    <cfRule type="expression" dxfId="20" priority="5">
      <formula>AND(ISBLANK($I6),$C6&lt;&gt;"")</formula>
    </cfRule>
  </conditionalFormatting>
  <conditionalFormatting sqref="B6:B16">
    <cfRule type="containsBlanks" dxfId="19" priority="4">
      <formula>LEN(TRIM(B6))=0</formula>
    </cfRule>
  </conditionalFormatting>
  <conditionalFormatting sqref="I6:I16">
    <cfRule type="expression" dxfId="18" priority="2">
      <formula>TODAY()&gt;=$K6</formula>
    </cfRule>
    <cfRule type="expression" dxfId="17" priority="3">
      <formula>AND($K6&gt;=TODAY(),$K6&lt;=TODAY()+30)</formula>
    </cfRule>
  </conditionalFormatting>
  <pageMargins left="0.25" right="0.25" top="0.75" bottom="0.75" header="0.3" footer="0.3"/>
  <pageSetup paperSize="9" scale="36" fitToHeight="0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BD731-8E6C-457E-A6CE-F45828069926}">
  <sheetPr>
    <outlinePr summaryBelow="0" summaryRight="0"/>
    <pageSetUpPr fitToPage="1"/>
  </sheetPr>
  <dimension ref="A1:S16"/>
  <sheetViews>
    <sheetView zoomScale="55" zoomScaleNormal="55" zoomScaleSheetLayoutView="85" workbookViewId="0">
      <selection activeCell="G6" sqref="G6"/>
    </sheetView>
  </sheetViews>
  <sheetFormatPr defaultColWidth="8.88671875" defaultRowHeight="15" x14ac:dyDescent="0.3"/>
  <cols>
    <col min="1" max="1" width="7.109375" style="1" bestFit="1" customWidth="1"/>
    <col min="2" max="2" width="7.109375" style="1" customWidth="1"/>
    <col min="3" max="3" width="29.6640625" style="2" bestFit="1" customWidth="1"/>
    <col min="4" max="4" width="22.6640625" style="5" customWidth="1"/>
    <col min="5" max="5" width="9" style="1" bestFit="1" customWidth="1"/>
    <col min="6" max="6" width="30.109375" style="3" bestFit="1" customWidth="1"/>
    <col min="7" max="7" width="31.44140625" style="3" bestFit="1" customWidth="1"/>
    <col min="8" max="8" width="21" style="4" bestFit="1" customWidth="1"/>
    <col min="9" max="9" width="45.33203125" style="3" customWidth="1"/>
    <col min="10" max="11" width="21.6640625" style="4" customWidth="1"/>
    <col min="12" max="12" width="26.88671875" style="5" customWidth="1"/>
    <col min="13" max="13" width="18.88671875" style="5" bestFit="1" customWidth="1"/>
    <col min="14" max="14" width="9.33203125" style="1" bestFit="1" customWidth="1"/>
    <col min="15" max="15" width="12.5546875" style="1" bestFit="1" customWidth="1"/>
    <col min="16" max="16" width="16.44140625" style="6" bestFit="1" customWidth="1"/>
    <col min="17" max="17" width="11" style="1" bestFit="1" customWidth="1"/>
    <col min="18" max="18" width="15.44140625" style="1" bestFit="1" customWidth="1"/>
    <col min="19" max="19" width="34.33203125" style="2" customWidth="1"/>
    <col min="20" max="16384" width="8.88671875" style="2"/>
  </cols>
  <sheetData>
    <row r="1" spans="1:19" ht="17.399999999999999" x14ac:dyDescent="0.3">
      <c r="A1" s="134" t="s">
        <v>64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</row>
    <row r="2" spans="1:19" x14ac:dyDescent="0.3">
      <c r="D2" s="2"/>
      <c r="F2" s="1"/>
      <c r="H2" s="1"/>
      <c r="J2" s="1"/>
      <c r="K2" s="1"/>
      <c r="L2" s="1"/>
      <c r="M2" s="1"/>
    </row>
    <row r="3" spans="1:19" ht="15.6" x14ac:dyDescent="0.3">
      <c r="A3" s="131" t="s">
        <v>3</v>
      </c>
      <c r="B3" s="131" t="s">
        <v>4</v>
      </c>
      <c r="C3" s="131" t="s">
        <v>0</v>
      </c>
      <c r="D3" s="131"/>
      <c r="E3" s="131" t="s">
        <v>1</v>
      </c>
      <c r="F3" s="131"/>
      <c r="G3" s="131"/>
      <c r="H3" s="131"/>
      <c r="I3" s="131"/>
      <c r="J3" s="131"/>
      <c r="K3" s="131"/>
      <c r="L3" s="131" t="s">
        <v>2</v>
      </c>
      <c r="M3" s="131"/>
      <c r="N3" s="131"/>
      <c r="O3" s="131"/>
      <c r="P3" s="131"/>
      <c r="Q3" s="131"/>
      <c r="R3" s="131"/>
      <c r="S3" s="131" t="s">
        <v>19</v>
      </c>
    </row>
    <row r="4" spans="1:19" s="1" customFormat="1" ht="46.8" x14ac:dyDescent="0.3">
      <c r="A4" s="131"/>
      <c r="B4" s="131"/>
      <c r="C4" s="54" t="s">
        <v>5</v>
      </c>
      <c r="D4" s="54" t="s">
        <v>6</v>
      </c>
      <c r="E4" s="54" t="s">
        <v>7</v>
      </c>
      <c r="F4" s="54" t="s">
        <v>8</v>
      </c>
      <c r="G4" s="54" t="s">
        <v>9</v>
      </c>
      <c r="H4" s="54" t="s">
        <v>10</v>
      </c>
      <c r="I4" s="43" t="s">
        <v>11</v>
      </c>
      <c r="J4" s="54" t="s">
        <v>12</v>
      </c>
      <c r="K4" s="54" t="s">
        <v>13</v>
      </c>
      <c r="L4" s="54" t="s">
        <v>14</v>
      </c>
      <c r="M4" s="54" t="s">
        <v>15</v>
      </c>
      <c r="N4" s="54" t="s">
        <v>16</v>
      </c>
      <c r="O4" s="43" t="s">
        <v>17</v>
      </c>
      <c r="P4" s="18" t="s">
        <v>69</v>
      </c>
      <c r="Q4" s="54" t="s">
        <v>7</v>
      </c>
      <c r="R4" s="54" t="s">
        <v>18</v>
      </c>
      <c r="S4" s="131"/>
    </row>
    <row r="5" spans="1:19" s="1" customFormat="1" x14ac:dyDescent="0.3">
      <c r="A5" s="10" t="s">
        <v>26</v>
      </c>
      <c r="B5" s="11" t="s">
        <v>27</v>
      </c>
      <c r="C5" s="11" t="s">
        <v>28</v>
      </c>
      <c r="D5" s="11" t="s">
        <v>29</v>
      </c>
      <c r="E5" s="11" t="s">
        <v>30</v>
      </c>
      <c r="F5" s="11" t="s">
        <v>31</v>
      </c>
      <c r="G5" s="11" t="s">
        <v>32</v>
      </c>
      <c r="H5" s="11" t="s">
        <v>33</v>
      </c>
      <c r="I5" s="44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1" t="s">
        <v>39</v>
      </c>
      <c r="O5" s="11" t="s">
        <v>40</v>
      </c>
      <c r="P5" s="12" t="s">
        <v>20</v>
      </c>
      <c r="Q5" s="11" t="s">
        <v>41</v>
      </c>
      <c r="R5" s="11" t="s">
        <v>42</v>
      </c>
      <c r="S5" s="13" t="s">
        <v>43</v>
      </c>
    </row>
    <row r="6" spans="1:19" ht="60" x14ac:dyDescent="0.3">
      <c r="A6" s="7">
        <f>IF($C6&lt;&gt;"", SUBTOTAL(103,$C$6:C6), "")</f>
        <v>1</v>
      </c>
      <c r="B6" s="41">
        <v>1</v>
      </c>
      <c r="C6" s="36" t="s">
        <v>461</v>
      </c>
      <c r="D6" s="37"/>
      <c r="E6" s="37" t="s">
        <v>21</v>
      </c>
      <c r="F6" s="49" t="s">
        <v>462</v>
      </c>
      <c r="G6" s="46" t="s">
        <v>463</v>
      </c>
      <c r="H6" s="47">
        <v>44900</v>
      </c>
      <c r="I6" s="94" t="s">
        <v>464</v>
      </c>
      <c r="J6" s="47">
        <v>44963</v>
      </c>
      <c r="K6" s="47">
        <v>46789</v>
      </c>
      <c r="L6" s="36" t="s">
        <v>465</v>
      </c>
      <c r="M6" s="36" t="s">
        <v>466</v>
      </c>
      <c r="N6" s="37">
        <v>1</v>
      </c>
      <c r="O6" s="37">
        <v>500</v>
      </c>
      <c r="P6" s="37">
        <v>500</v>
      </c>
      <c r="Q6" s="46" t="s">
        <v>77</v>
      </c>
      <c r="R6" s="37" t="s">
        <v>78</v>
      </c>
      <c r="S6" s="9"/>
    </row>
    <row r="7" spans="1:19" x14ac:dyDescent="0.3">
      <c r="A7" s="7" t="str">
        <f>IF($C7&lt;&gt;"", SUBTOTAL(103,$C$6:C7), "")</f>
        <v/>
      </c>
      <c r="B7" s="41">
        <f>B6</f>
        <v>1</v>
      </c>
      <c r="C7" s="31"/>
      <c r="D7" s="38"/>
      <c r="E7" s="38"/>
      <c r="F7" s="32"/>
      <c r="G7" s="32"/>
      <c r="H7" s="39"/>
      <c r="I7" s="38"/>
      <c r="J7" s="39"/>
      <c r="K7" s="39" t="s">
        <v>74</v>
      </c>
      <c r="L7" s="31"/>
      <c r="M7" s="31"/>
      <c r="N7" s="38">
        <v>1</v>
      </c>
      <c r="O7" s="38">
        <v>380</v>
      </c>
      <c r="P7" s="38">
        <v>380</v>
      </c>
      <c r="Q7" s="32" t="s">
        <v>77</v>
      </c>
      <c r="R7" s="38" t="s">
        <v>78</v>
      </c>
      <c r="S7" s="9"/>
    </row>
    <row r="8" spans="1:19" x14ac:dyDescent="0.3">
      <c r="A8" s="7" t="str">
        <f>IF($C8&lt;&gt;"", SUBTOTAL(103,$C$6:C8), "")</f>
        <v/>
      </c>
      <c r="B8" s="41">
        <f t="shared" ref="B8:B11" si="0">B7</f>
        <v>1</v>
      </c>
      <c r="C8" s="25"/>
      <c r="D8" s="26"/>
      <c r="E8" s="26"/>
      <c r="F8" s="28"/>
      <c r="G8" s="27"/>
      <c r="H8" s="28"/>
      <c r="I8" s="32"/>
      <c r="J8" s="28"/>
      <c r="K8" s="22" t="str">
        <f t="shared" ref="K8:K10" si="1">IF($E8="IUPTLS",IF(ISBLANK(J8), " ", DATE(YEAR(J8)+5,MONTH(J8),DAY(J8))),IF($E8="SKTP","",""))</f>
        <v/>
      </c>
      <c r="L8" s="19"/>
      <c r="M8" s="19"/>
      <c r="N8" s="20"/>
      <c r="O8" s="20"/>
      <c r="P8" s="26">
        <f>Table145678[[#This Row],[14]]*Table145678[[#This Row],[15]]</f>
        <v>0</v>
      </c>
      <c r="Q8" s="27"/>
      <c r="R8" s="26"/>
      <c r="S8" s="9"/>
    </row>
    <row r="9" spans="1:19" x14ac:dyDescent="0.3">
      <c r="A9" s="7" t="str">
        <f>IF($C9&lt;&gt;"", SUBTOTAL(103,$C$6:C9), "")</f>
        <v/>
      </c>
      <c r="B9" s="41">
        <f t="shared" si="0"/>
        <v>1</v>
      </c>
      <c r="C9" s="25"/>
      <c r="D9" s="37"/>
      <c r="E9" s="37"/>
      <c r="F9" s="37"/>
      <c r="G9" s="46"/>
      <c r="H9" s="47"/>
      <c r="I9" s="32"/>
      <c r="J9" s="47"/>
      <c r="K9" s="22" t="str">
        <f t="shared" si="1"/>
        <v/>
      </c>
      <c r="L9" s="19"/>
      <c r="M9" s="19"/>
      <c r="N9" s="20"/>
      <c r="O9" s="20"/>
      <c r="P9" s="26">
        <f>Table145678[[#This Row],[14]]*Table145678[[#This Row],[15]]</f>
        <v>0</v>
      </c>
      <c r="Q9" s="46"/>
      <c r="R9" s="37"/>
      <c r="S9" s="9"/>
    </row>
    <row r="10" spans="1:19" x14ac:dyDescent="0.3">
      <c r="A10" s="7" t="str">
        <f>IF($C10&lt;&gt;"", SUBTOTAL(103,$C$6:C10), "")</f>
        <v/>
      </c>
      <c r="B10" s="41">
        <f t="shared" si="0"/>
        <v>1</v>
      </c>
      <c r="C10" s="25"/>
      <c r="D10" s="38"/>
      <c r="E10" s="38"/>
      <c r="F10" s="39"/>
      <c r="G10" s="32"/>
      <c r="H10" s="39"/>
      <c r="I10" s="32"/>
      <c r="J10" s="39"/>
      <c r="K10" s="22" t="str">
        <f t="shared" si="1"/>
        <v/>
      </c>
      <c r="L10" s="19"/>
      <c r="M10" s="19"/>
      <c r="N10" s="20"/>
      <c r="O10" s="20"/>
      <c r="P10" s="26">
        <f>Table145678[[#This Row],[14]]*Table145678[[#This Row],[15]]</f>
        <v>0</v>
      </c>
      <c r="Q10" s="32"/>
      <c r="R10" s="38"/>
      <c r="S10" s="9"/>
    </row>
    <row r="11" spans="1:19" x14ac:dyDescent="0.3">
      <c r="A11" s="7" t="str">
        <f>IF($C11&lt;&gt;"", SUBTOTAL(103,$C$6:C11), "")</f>
        <v/>
      </c>
      <c r="B11" s="41">
        <f t="shared" si="0"/>
        <v>1</v>
      </c>
      <c r="C11" s="25"/>
      <c r="D11" s="20"/>
      <c r="E11" s="20"/>
      <c r="F11" s="20"/>
      <c r="G11" s="21"/>
      <c r="H11" s="22"/>
      <c r="I11" s="32"/>
      <c r="J11" s="22"/>
      <c r="K11" s="22" t="str">
        <f t="shared" ref="K11" si="2">IF($E11="IUPTLS",IF(ISBLANK(J11), " ", DATE(YEAR(J11)+5,MONTH(J11),DAY(J11))),IF($E11="SKTP","",""))</f>
        <v/>
      </c>
      <c r="L11" s="19"/>
      <c r="M11" s="19"/>
      <c r="N11" s="20"/>
      <c r="O11" s="20"/>
      <c r="P11" s="26">
        <f>Table145678[[#This Row],[14]]*Table145678[[#This Row],[15]]</f>
        <v>0</v>
      </c>
      <c r="Q11" s="20"/>
      <c r="R11" s="20"/>
      <c r="S11" s="70"/>
    </row>
    <row r="14" spans="1:19" ht="15" customHeight="1" x14ac:dyDescent="0.3">
      <c r="G14" s="87" t="s">
        <v>23</v>
      </c>
      <c r="H14" s="83">
        <f>COUNTIF($E$6:$E$11,"IUPTLS")</f>
        <v>1</v>
      </c>
      <c r="N14" s="136" t="s">
        <v>69</v>
      </c>
      <c r="O14" s="137"/>
      <c r="P14" s="140">
        <f>SUM($P$6:$P$11)</f>
        <v>880</v>
      </c>
    </row>
    <row r="15" spans="1:19" s="1" customFormat="1" ht="15" customHeight="1" x14ac:dyDescent="0.3">
      <c r="F15" s="3"/>
      <c r="G15" s="87" t="s">
        <v>24</v>
      </c>
      <c r="H15" s="84">
        <f>COUNTIF($E$6:$E$11,"SKTP")</f>
        <v>0</v>
      </c>
      <c r="I15" s="3"/>
      <c r="J15" s="4"/>
      <c r="K15" s="4"/>
      <c r="L15" s="5"/>
      <c r="M15" s="5"/>
      <c r="N15" s="138"/>
      <c r="O15" s="139"/>
      <c r="P15" s="141"/>
      <c r="S15" s="2"/>
    </row>
    <row r="16" spans="1:19" s="1" customFormat="1" ht="15" customHeight="1" x14ac:dyDescent="0.3">
      <c r="F16" s="3"/>
      <c r="G16" s="87" t="s">
        <v>25</v>
      </c>
      <c r="H16" s="82">
        <f>SUM(H14:H15)</f>
        <v>1</v>
      </c>
      <c r="I16" s="3"/>
      <c r="J16" s="4"/>
      <c r="K16" s="4"/>
      <c r="L16" s="5"/>
      <c r="M16" s="5"/>
      <c r="P16" s="6"/>
      <c r="S16" s="2"/>
    </row>
  </sheetData>
  <mergeCells count="9">
    <mergeCell ref="S3:S4"/>
    <mergeCell ref="N14:O15"/>
    <mergeCell ref="P14:P15"/>
    <mergeCell ref="A1:R1"/>
    <mergeCell ref="A3:A4"/>
    <mergeCell ref="B3:B4"/>
    <mergeCell ref="C3:D3"/>
    <mergeCell ref="E3:K3"/>
    <mergeCell ref="L3:R3"/>
  </mergeCells>
  <conditionalFormatting sqref="C6:C11">
    <cfRule type="expression" dxfId="16" priority="5">
      <formula>AND(ISBLANK($I6),$C6&lt;&gt;"")</formula>
    </cfRule>
  </conditionalFormatting>
  <conditionalFormatting sqref="B6:B11">
    <cfRule type="containsBlanks" dxfId="15" priority="4">
      <formula>LEN(TRIM(B6))=0</formula>
    </cfRule>
  </conditionalFormatting>
  <conditionalFormatting sqref="I6:I11">
    <cfRule type="expression" dxfId="14" priority="2">
      <formula>TODAY()&gt;=$K6</formula>
    </cfRule>
    <cfRule type="expression" dxfId="13" priority="3">
      <formula>AND($K6&gt;=TODAY(),$K6&lt;=TODAY()+30)</formula>
    </cfRule>
  </conditionalFormatting>
  <pageMargins left="0.25" right="0.25" top="0.75" bottom="0.75" header="0.3" footer="0.3"/>
  <pageSetup paperSize="9" scale="39" fitToHeight="0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DFC87-9244-4B7C-BCFC-DC53028898FA}">
  <sheetPr>
    <outlinePr summaryBelow="0" summaryRight="0"/>
    <pageSetUpPr fitToPage="1"/>
  </sheetPr>
  <dimension ref="A1:S17"/>
  <sheetViews>
    <sheetView zoomScale="55" zoomScaleNormal="55" zoomScaleSheetLayoutView="70" workbookViewId="0">
      <selection activeCell="G10" sqref="G10"/>
    </sheetView>
  </sheetViews>
  <sheetFormatPr defaultColWidth="8.88671875" defaultRowHeight="15" x14ac:dyDescent="0.3"/>
  <cols>
    <col min="1" max="1" width="7.109375" style="1" bestFit="1" customWidth="1"/>
    <col min="2" max="2" width="7.109375" style="1" customWidth="1"/>
    <col min="3" max="3" width="29.6640625" style="2" bestFit="1" customWidth="1"/>
    <col min="4" max="4" width="22.6640625" style="5" customWidth="1"/>
    <col min="5" max="5" width="9" style="1" bestFit="1" customWidth="1"/>
    <col min="6" max="6" width="30.109375" style="3" bestFit="1" customWidth="1"/>
    <col min="7" max="7" width="31.44140625" style="3" bestFit="1" customWidth="1"/>
    <col min="8" max="8" width="21" style="4" bestFit="1" customWidth="1"/>
    <col min="9" max="9" width="45.33203125" style="3" customWidth="1"/>
    <col min="10" max="11" width="21.6640625" style="4" customWidth="1"/>
    <col min="12" max="12" width="26.88671875" style="5" customWidth="1"/>
    <col min="13" max="13" width="18.88671875" style="5" bestFit="1" customWidth="1"/>
    <col min="14" max="14" width="9.33203125" style="1" bestFit="1" customWidth="1"/>
    <col min="15" max="15" width="12.109375" style="1" bestFit="1" customWidth="1"/>
    <col min="16" max="16" width="16.44140625" style="6" bestFit="1" customWidth="1"/>
    <col min="17" max="17" width="11" style="1" bestFit="1" customWidth="1"/>
    <col min="18" max="18" width="15.44140625" style="1" bestFit="1" customWidth="1"/>
    <col min="19" max="19" width="12.33203125" style="2" bestFit="1" customWidth="1"/>
    <col min="20" max="16384" width="8.88671875" style="2"/>
  </cols>
  <sheetData>
    <row r="1" spans="1:19" ht="17.399999999999999" x14ac:dyDescent="0.3">
      <c r="A1" s="134" t="s">
        <v>65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</row>
    <row r="2" spans="1:19" x14ac:dyDescent="0.3">
      <c r="D2" s="2"/>
      <c r="F2" s="1"/>
      <c r="H2" s="1"/>
      <c r="J2" s="1"/>
      <c r="K2" s="1"/>
      <c r="L2" s="1"/>
      <c r="M2" s="1"/>
    </row>
    <row r="3" spans="1:19" ht="15.6" x14ac:dyDescent="0.3">
      <c r="A3" s="131" t="s">
        <v>3</v>
      </c>
      <c r="B3" s="131" t="s">
        <v>4</v>
      </c>
      <c r="C3" s="131" t="s">
        <v>0</v>
      </c>
      <c r="D3" s="131"/>
      <c r="E3" s="131" t="s">
        <v>1</v>
      </c>
      <c r="F3" s="131"/>
      <c r="G3" s="131"/>
      <c r="H3" s="131"/>
      <c r="I3" s="131"/>
      <c r="J3" s="131"/>
      <c r="K3" s="131"/>
      <c r="L3" s="131" t="s">
        <v>2</v>
      </c>
      <c r="M3" s="131"/>
      <c r="N3" s="131"/>
      <c r="O3" s="131"/>
      <c r="P3" s="131"/>
      <c r="Q3" s="131"/>
      <c r="R3" s="131"/>
      <c r="S3" s="131" t="s">
        <v>19</v>
      </c>
    </row>
    <row r="4" spans="1:19" s="1" customFormat="1" ht="46.8" x14ac:dyDescent="0.3">
      <c r="A4" s="131"/>
      <c r="B4" s="131"/>
      <c r="C4" s="54" t="s">
        <v>5</v>
      </c>
      <c r="D4" s="54" t="s">
        <v>6</v>
      </c>
      <c r="E4" s="54" t="s">
        <v>7</v>
      </c>
      <c r="F4" s="54" t="s">
        <v>8</v>
      </c>
      <c r="G4" s="54" t="s">
        <v>9</v>
      </c>
      <c r="H4" s="54" t="s">
        <v>10</v>
      </c>
      <c r="I4" s="43" t="s">
        <v>11</v>
      </c>
      <c r="J4" s="54" t="s">
        <v>12</v>
      </c>
      <c r="K4" s="54" t="s">
        <v>13</v>
      </c>
      <c r="L4" s="54" t="s">
        <v>14</v>
      </c>
      <c r="M4" s="54" t="s">
        <v>15</v>
      </c>
      <c r="N4" s="54" t="s">
        <v>16</v>
      </c>
      <c r="O4" s="43" t="s">
        <v>17</v>
      </c>
      <c r="P4" s="18" t="s">
        <v>69</v>
      </c>
      <c r="Q4" s="54" t="s">
        <v>7</v>
      </c>
      <c r="R4" s="54" t="s">
        <v>18</v>
      </c>
      <c r="S4" s="131"/>
    </row>
    <row r="5" spans="1:19" s="1" customFormat="1" x14ac:dyDescent="0.3">
      <c r="A5" s="10" t="s">
        <v>26</v>
      </c>
      <c r="B5" s="11" t="s">
        <v>27</v>
      </c>
      <c r="C5" s="11" t="s">
        <v>28</v>
      </c>
      <c r="D5" s="11" t="s">
        <v>29</v>
      </c>
      <c r="E5" s="11" t="s">
        <v>30</v>
      </c>
      <c r="F5" s="11" t="s">
        <v>31</v>
      </c>
      <c r="G5" s="11" t="s">
        <v>32</v>
      </c>
      <c r="H5" s="11" t="s">
        <v>33</v>
      </c>
      <c r="I5" s="44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1" t="s">
        <v>39</v>
      </c>
      <c r="O5" s="11" t="s">
        <v>40</v>
      </c>
      <c r="P5" s="12" t="s">
        <v>20</v>
      </c>
      <c r="Q5" s="11" t="s">
        <v>41</v>
      </c>
      <c r="R5" s="11" t="s">
        <v>42</v>
      </c>
      <c r="S5" s="13" t="s">
        <v>43</v>
      </c>
    </row>
    <row r="6" spans="1:19" ht="45" x14ac:dyDescent="0.3">
      <c r="A6" s="7">
        <f>IF($C6&lt;&gt;"", SUBTOTAL(103,$C$6:C6), "")</f>
        <v>1</v>
      </c>
      <c r="B6" s="41">
        <v>1</v>
      </c>
      <c r="C6" s="25" t="s">
        <v>467</v>
      </c>
      <c r="D6" s="26"/>
      <c r="E6" s="26" t="s">
        <v>21</v>
      </c>
      <c r="F6" s="93" t="s">
        <v>468</v>
      </c>
      <c r="G6" s="27" t="s">
        <v>469</v>
      </c>
      <c r="H6" s="28">
        <v>44589</v>
      </c>
      <c r="I6" s="45" t="s">
        <v>470</v>
      </c>
      <c r="J6" s="30">
        <v>44608</v>
      </c>
      <c r="K6" s="28">
        <f t="shared" ref="K6:K12" si="0">IF($E6="IUPTLS",IF(ISBLANK(J6), " ", DATE(YEAR(J6)+5,MONTH(J6),DAY(J6))),IF($E6="SKTP","",""))</f>
        <v>46434</v>
      </c>
      <c r="L6" s="25" t="s">
        <v>471</v>
      </c>
      <c r="M6" s="25" t="s">
        <v>472</v>
      </c>
      <c r="N6" s="26">
        <v>3</v>
      </c>
      <c r="O6" s="26">
        <v>100</v>
      </c>
      <c r="P6" s="26">
        <f>Table1456789[[#This Row],[14]]*Table1456789[[#This Row],[15]]</f>
        <v>300</v>
      </c>
      <c r="Q6" s="26" t="s">
        <v>337</v>
      </c>
      <c r="R6" s="26" t="s">
        <v>338</v>
      </c>
      <c r="S6" s="9" t="s">
        <v>482</v>
      </c>
    </row>
    <row r="7" spans="1:19" ht="30" x14ac:dyDescent="0.3">
      <c r="A7" s="7" t="str">
        <f>IF($C7&lt;&gt;"", SUBTOTAL(103,$C$6:C7), "")</f>
        <v/>
      </c>
      <c r="B7" s="41">
        <f>B6</f>
        <v>1</v>
      </c>
      <c r="C7" s="36"/>
      <c r="D7" s="37"/>
      <c r="E7" s="37"/>
      <c r="F7" s="46"/>
      <c r="G7" s="46"/>
      <c r="H7" s="47"/>
      <c r="I7" s="37"/>
      <c r="J7" s="47"/>
      <c r="K7" s="47" t="str">
        <f t="shared" si="0"/>
        <v/>
      </c>
      <c r="L7" s="36"/>
      <c r="M7" s="36" t="s">
        <v>473</v>
      </c>
      <c r="N7" s="37">
        <v>2</v>
      </c>
      <c r="O7" s="37">
        <v>100</v>
      </c>
      <c r="P7" s="37">
        <f>Table1456789[[#This Row],[14]]*Table1456789[[#This Row],[15]]</f>
        <v>200</v>
      </c>
      <c r="Q7" s="37" t="s">
        <v>337</v>
      </c>
      <c r="R7" s="37" t="s">
        <v>338</v>
      </c>
      <c r="S7" s="9" t="s">
        <v>482</v>
      </c>
    </row>
    <row r="8" spans="1:19" ht="30" x14ac:dyDescent="0.3">
      <c r="A8" s="7" t="str">
        <f>IF($C8&lt;&gt;"", SUBTOTAL(103,$C$6:C8), "")</f>
        <v/>
      </c>
      <c r="B8" s="41">
        <f t="shared" ref="B8:B12" si="1">B7</f>
        <v>1</v>
      </c>
      <c r="C8" s="31"/>
      <c r="D8" s="38"/>
      <c r="E8" s="38"/>
      <c r="F8" s="32"/>
      <c r="G8" s="32"/>
      <c r="H8" s="39"/>
      <c r="I8" s="38"/>
      <c r="J8" s="39"/>
      <c r="K8" s="39" t="str">
        <f t="shared" si="0"/>
        <v/>
      </c>
      <c r="L8" s="31"/>
      <c r="M8" s="31" t="s">
        <v>474</v>
      </c>
      <c r="N8" s="38">
        <v>5</v>
      </c>
      <c r="O8" s="38">
        <v>100</v>
      </c>
      <c r="P8" s="38">
        <f>Table1456789[[#This Row],[14]]*Table1456789[[#This Row],[15]]</f>
        <v>500</v>
      </c>
      <c r="Q8" s="38" t="s">
        <v>337</v>
      </c>
      <c r="R8" s="38" t="s">
        <v>338</v>
      </c>
      <c r="S8" s="9" t="s">
        <v>482</v>
      </c>
    </row>
    <row r="9" spans="1:19" x14ac:dyDescent="0.3">
      <c r="A9" s="7" t="str">
        <f>IF($C9&lt;&gt;"", SUBTOTAL(103,$C$6:C9), "")</f>
        <v/>
      </c>
      <c r="B9" s="41">
        <f t="shared" si="1"/>
        <v>1</v>
      </c>
      <c r="C9" s="36"/>
      <c r="D9" s="37"/>
      <c r="E9" s="37"/>
      <c r="F9" s="46"/>
      <c r="G9" s="46"/>
      <c r="H9" s="47"/>
      <c r="I9" s="37"/>
      <c r="J9" s="47"/>
      <c r="K9" s="47" t="str">
        <f t="shared" si="0"/>
        <v/>
      </c>
      <c r="L9" s="36"/>
      <c r="M9" s="36"/>
      <c r="N9" s="37">
        <v>2326</v>
      </c>
      <c r="O9" s="37">
        <f>540/1000</f>
        <v>0.54</v>
      </c>
      <c r="P9" s="37">
        <f>Table1456789[[#This Row],[14]]*Table1456789[[#This Row],[15]]</f>
        <v>1256.0400000000002</v>
      </c>
      <c r="Q9" s="37" t="s">
        <v>337</v>
      </c>
      <c r="R9" s="37" t="s">
        <v>338</v>
      </c>
      <c r="S9" s="72" t="s">
        <v>481</v>
      </c>
    </row>
    <row r="10" spans="1:19" ht="90" x14ac:dyDescent="0.3">
      <c r="A10" s="7">
        <f>IF($C10&lt;&gt;"", SUBTOTAL(103,$C$6:C10), "")</f>
        <v>2</v>
      </c>
      <c r="B10" s="41">
        <v>2</v>
      </c>
      <c r="C10" s="25" t="s">
        <v>475</v>
      </c>
      <c r="D10" s="26"/>
      <c r="E10" s="26" t="s">
        <v>21</v>
      </c>
      <c r="F10" s="27" t="s">
        <v>476</v>
      </c>
      <c r="G10" s="27" t="s">
        <v>477</v>
      </c>
      <c r="H10" s="28">
        <v>44874</v>
      </c>
      <c r="I10" s="35" t="s">
        <v>478</v>
      </c>
      <c r="J10" s="28">
        <v>44879</v>
      </c>
      <c r="K10" s="28">
        <f t="shared" si="0"/>
        <v>46705</v>
      </c>
      <c r="L10" s="25" t="s">
        <v>479</v>
      </c>
      <c r="M10" s="25" t="s">
        <v>480</v>
      </c>
      <c r="N10" s="27">
        <v>1</v>
      </c>
      <c r="O10" s="27">
        <v>2000</v>
      </c>
      <c r="P10" s="27">
        <f>Table1456789[[#This Row],[14]]*Table1456789[[#This Row],[15]]</f>
        <v>2000</v>
      </c>
      <c r="Q10" s="27" t="s">
        <v>77</v>
      </c>
      <c r="R10" s="26" t="s">
        <v>78</v>
      </c>
      <c r="S10" s="33"/>
    </row>
    <row r="11" spans="1:19" x14ac:dyDescent="0.3">
      <c r="A11" s="7" t="str">
        <f>IF($C11&lt;&gt;"", SUBTOTAL(103,$C$6:C11), "")</f>
        <v/>
      </c>
      <c r="B11" s="41">
        <f t="shared" si="1"/>
        <v>2</v>
      </c>
      <c r="C11" s="36"/>
      <c r="D11" s="37"/>
      <c r="E11" s="37"/>
      <c r="F11" s="46"/>
      <c r="G11" s="46"/>
      <c r="H11" s="47"/>
      <c r="I11" s="37"/>
      <c r="J11" s="47"/>
      <c r="K11" s="47" t="str">
        <f t="shared" si="0"/>
        <v/>
      </c>
      <c r="L11" s="36"/>
      <c r="M11" s="36"/>
      <c r="N11" s="46">
        <v>1</v>
      </c>
      <c r="O11" s="46">
        <v>2135</v>
      </c>
      <c r="P11" s="46">
        <f>Table1456789[[#This Row],[14]]*Table1456789[[#This Row],[15]]</f>
        <v>2135</v>
      </c>
      <c r="Q11" s="46" t="s">
        <v>77</v>
      </c>
      <c r="R11" s="37" t="s">
        <v>78</v>
      </c>
      <c r="S11" s="29"/>
    </row>
    <row r="12" spans="1:19" x14ac:dyDescent="0.3">
      <c r="A12" s="7" t="str">
        <f>IF($C12&lt;&gt;"", SUBTOTAL(103,$C$6:C12), "")</f>
        <v/>
      </c>
      <c r="B12" s="41">
        <f t="shared" si="1"/>
        <v>2</v>
      </c>
      <c r="C12" s="31"/>
      <c r="D12" s="38"/>
      <c r="E12" s="38"/>
      <c r="F12" s="32"/>
      <c r="G12" s="32"/>
      <c r="H12" s="39"/>
      <c r="I12" s="38"/>
      <c r="J12" s="39"/>
      <c r="K12" s="39" t="str">
        <f t="shared" si="0"/>
        <v/>
      </c>
      <c r="L12" s="31"/>
      <c r="M12" s="31"/>
      <c r="N12" s="32">
        <v>1</v>
      </c>
      <c r="O12" s="32">
        <v>1500</v>
      </c>
      <c r="P12" s="32">
        <f>Table1456789[[#This Row],[14]]*Table1456789[[#This Row],[15]]</f>
        <v>1500</v>
      </c>
      <c r="Q12" s="32" t="s">
        <v>77</v>
      </c>
      <c r="R12" s="38" t="s">
        <v>78</v>
      </c>
      <c r="S12" s="72"/>
    </row>
    <row r="15" spans="1:19" ht="15" customHeight="1" x14ac:dyDescent="0.3">
      <c r="G15" s="87" t="s">
        <v>23</v>
      </c>
      <c r="H15" s="83">
        <f>COUNTIF($E$6:$E$12,"IUPTLS")</f>
        <v>2</v>
      </c>
      <c r="N15" s="132" t="s">
        <v>69</v>
      </c>
      <c r="O15" s="132"/>
      <c r="P15" s="133">
        <f>SUM($P$6:$P$12)</f>
        <v>7891.04</v>
      </c>
    </row>
    <row r="16" spans="1:19" s="1" customFormat="1" ht="15" customHeight="1" x14ac:dyDescent="0.3">
      <c r="F16" s="3"/>
      <c r="G16" s="87" t="s">
        <v>24</v>
      </c>
      <c r="H16" s="84">
        <f>COUNTIF($E$6:$E$12,"SKTP")</f>
        <v>0</v>
      </c>
      <c r="I16" s="3"/>
      <c r="J16" s="4"/>
      <c r="K16" s="4"/>
      <c r="L16" s="5"/>
      <c r="M16" s="5"/>
      <c r="N16" s="132"/>
      <c r="O16" s="132"/>
      <c r="P16" s="133"/>
      <c r="S16" s="2"/>
    </row>
    <row r="17" spans="6:19" s="1" customFormat="1" ht="15" customHeight="1" x14ac:dyDescent="0.3">
      <c r="F17" s="3"/>
      <c r="G17" s="87" t="s">
        <v>25</v>
      </c>
      <c r="H17" s="82">
        <f>SUM(H15:H16)</f>
        <v>2</v>
      </c>
      <c r="I17" s="3"/>
      <c r="J17" s="4"/>
      <c r="K17" s="4"/>
      <c r="L17" s="5"/>
      <c r="M17" s="5"/>
      <c r="P17" s="6"/>
      <c r="S17" s="2"/>
    </row>
  </sheetData>
  <mergeCells count="9">
    <mergeCell ref="S3:S4"/>
    <mergeCell ref="N15:O16"/>
    <mergeCell ref="P15:P16"/>
    <mergeCell ref="A1:R1"/>
    <mergeCell ref="A3:A4"/>
    <mergeCell ref="B3:B4"/>
    <mergeCell ref="C3:D3"/>
    <mergeCell ref="E3:K3"/>
    <mergeCell ref="L3:R3"/>
  </mergeCells>
  <conditionalFormatting sqref="C6:C12">
    <cfRule type="expression" dxfId="12" priority="5">
      <formula>AND(ISBLANK($I6),$C6&lt;&gt;"")</formula>
    </cfRule>
  </conditionalFormatting>
  <conditionalFormatting sqref="B6:B12">
    <cfRule type="containsBlanks" dxfId="11" priority="4">
      <formula>LEN(TRIM(B6))=0</formula>
    </cfRule>
  </conditionalFormatting>
  <conditionalFormatting sqref="I6:I12">
    <cfRule type="expression" dxfId="10" priority="2">
      <formula>TODAY()&gt;=$K6</formula>
    </cfRule>
    <cfRule type="expression" dxfId="9" priority="3">
      <formula>AND($K6&gt;=TODAY(),$K6&lt;=TODAY()+30)</formula>
    </cfRule>
  </conditionalFormatting>
  <pageMargins left="0.25" right="0.25" top="0.75" bottom="0.75" header="0.3" footer="0.3"/>
  <pageSetup paperSize="9" scale="38" fitToHeight="0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EFBEF-AC2E-4A2F-AF95-F029B37F99E4}">
  <sheetPr>
    <outlinePr summaryBelow="0" summaryRight="0"/>
    <pageSetUpPr fitToPage="1"/>
  </sheetPr>
  <dimension ref="A1:S35"/>
  <sheetViews>
    <sheetView topLeftCell="D1" zoomScale="55" zoomScaleNormal="55" zoomScaleSheetLayoutView="85" workbookViewId="0">
      <selection activeCell="G6" sqref="G6"/>
    </sheetView>
  </sheetViews>
  <sheetFormatPr defaultColWidth="8.88671875" defaultRowHeight="15" x14ac:dyDescent="0.3"/>
  <cols>
    <col min="1" max="1" width="7.109375" style="1" bestFit="1" customWidth="1"/>
    <col min="2" max="2" width="7.109375" style="1" customWidth="1"/>
    <col min="3" max="3" width="29.6640625" style="2" bestFit="1" customWidth="1"/>
    <col min="4" max="4" width="22.6640625" style="5" customWidth="1"/>
    <col min="5" max="5" width="9" style="1" bestFit="1" customWidth="1"/>
    <col min="6" max="6" width="30.109375" style="3" bestFit="1" customWidth="1"/>
    <col min="7" max="7" width="31.44140625" style="3" bestFit="1" customWidth="1"/>
    <col min="8" max="8" width="21" style="4" bestFit="1" customWidth="1"/>
    <col min="9" max="9" width="45.33203125" style="3" customWidth="1"/>
    <col min="10" max="11" width="21.6640625" style="4" customWidth="1"/>
    <col min="12" max="12" width="26.88671875" style="5" customWidth="1"/>
    <col min="13" max="13" width="18.88671875" style="5" bestFit="1" customWidth="1"/>
    <col min="14" max="14" width="9.33203125" style="1" bestFit="1" customWidth="1"/>
    <col min="15" max="15" width="12.5546875" style="1" bestFit="1" customWidth="1"/>
    <col min="16" max="16" width="16.44140625" style="6" bestFit="1" customWidth="1"/>
    <col min="17" max="17" width="11" style="1" bestFit="1" customWidth="1"/>
    <col min="18" max="18" width="15.44140625" style="1" bestFit="1" customWidth="1"/>
    <col min="19" max="19" width="10.5546875" style="2" bestFit="1" customWidth="1"/>
    <col min="20" max="16384" width="8.88671875" style="2"/>
  </cols>
  <sheetData>
    <row r="1" spans="1:19" ht="17.399999999999999" x14ac:dyDescent="0.3">
      <c r="A1" s="134" t="s">
        <v>66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</row>
    <row r="2" spans="1:19" x14ac:dyDescent="0.3">
      <c r="D2" s="2"/>
      <c r="F2" s="1"/>
      <c r="H2" s="1"/>
      <c r="J2" s="1"/>
      <c r="K2" s="1"/>
      <c r="L2" s="1"/>
      <c r="M2" s="1"/>
    </row>
    <row r="3" spans="1:19" ht="15.6" x14ac:dyDescent="0.3">
      <c r="A3" s="131" t="s">
        <v>3</v>
      </c>
      <c r="B3" s="131" t="s">
        <v>4</v>
      </c>
      <c r="C3" s="131" t="s">
        <v>0</v>
      </c>
      <c r="D3" s="131"/>
      <c r="E3" s="131" t="s">
        <v>1</v>
      </c>
      <c r="F3" s="131"/>
      <c r="G3" s="131"/>
      <c r="H3" s="131"/>
      <c r="I3" s="131"/>
      <c r="J3" s="131"/>
      <c r="K3" s="131"/>
      <c r="L3" s="131" t="s">
        <v>2</v>
      </c>
      <c r="M3" s="131"/>
      <c r="N3" s="131"/>
      <c r="O3" s="131"/>
      <c r="P3" s="131"/>
      <c r="Q3" s="131"/>
      <c r="R3" s="131"/>
      <c r="S3" s="131" t="s">
        <v>19</v>
      </c>
    </row>
    <row r="4" spans="1:19" s="1" customFormat="1" ht="46.8" x14ac:dyDescent="0.3">
      <c r="A4" s="131"/>
      <c r="B4" s="131"/>
      <c r="C4" s="54" t="s">
        <v>5</v>
      </c>
      <c r="D4" s="54" t="s">
        <v>6</v>
      </c>
      <c r="E4" s="54" t="s">
        <v>7</v>
      </c>
      <c r="F4" s="54" t="s">
        <v>8</v>
      </c>
      <c r="G4" s="54" t="s">
        <v>9</v>
      </c>
      <c r="H4" s="54" t="s">
        <v>10</v>
      </c>
      <c r="I4" s="43" t="s">
        <v>11</v>
      </c>
      <c r="J4" s="54" t="s">
        <v>12</v>
      </c>
      <c r="K4" s="54" t="s">
        <v>13</v>
      </c>
      <c r="L4" s="54" t="s">
        <v>14</v>
      </c>
      <c r="M4" s="54" t="s">
        <v>15</v>
      </c>
      <c r="N4" s="54" t="s">
        <v>16</v>
      </c>
      <c r="O4" s="43" t="s">
        <v>17</v>
      </c>
      <c r="P4" s="18" t="s">
        <v>69</v>
      </c>
      <c r="Q4" s="54" t="s">
        <v>7</v>
      </c>
      <c r="R4" s="54" t="s">
        <v>18</v>
      </c>
      <c r="S4" s="131"/>
    </row>
    <row r="5" spans="1:19" s="1" customFormat="1" x14ac:dyDescent="0.3">
      <c r="A5" s="10" t="s">
        <v>26</v>
      </c>
      <c r="B5" s="11" t="s">
        <v>27</v>
      </c>
      <c r="C5" s="11" t="s">
        <v>28</v>
      </c>
      <c r="D5" s="11" t="s">
        <v>29</v>
      </c>
      <c r="E5" s="11" t="s">
        <v>30</v>
      </c>
      <c r="F5" s="11" t="s">
        <v>31</v>
      </c>
      <c r="G5" s="11" t="s">
        <v>32</v>
      </c>
      <c r="H5" s="11" t="s">
        <v>33</v>
      </c>
      <c r="I5" s="44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1" t="s">
        <v>39</v>
      </c>
      <c r="O5" s="11" t="s">
        <v>40</v>
      </c>
      <c r="P5" s="12" t="s">
        <v>20</v>
      </c>
      <c r="Q5" s="11" t="s">
        <v>41</v>
      </c>
      <c r="R5" s="11" t="s">
        <v>42</v>
      </c>
      <c r="S5" s="13" t="s">
        <v>43</v>
      </c>
    </row>
    <row r="6" spans="1:19" ht="60" x14ac:dyDescent="0.3">
      <c r="A6" s="7">
        <f>IF($C6&lt;&gt;"", SUBTOTAL(103,$C$6:C6), "")</f>
        <v>1</v>
      </c>
      <c r="B6" s="41">
        <v>1</v>
      </c>
      <c r="C6" s="25" t="s">
        <v>483</v>
      </c>
      <c r="D6" s="26"/>
      <c r="E6" s="26" t="s">
        <v>21</v>
      </c>
      <c r="F6" s="27" t="s">
        <v>484</v>
      </c>
      <c r="G6" s="27" t="s">
        <v>485</v>
      </c>
      <c r="H6" s="28">
        <v>44725</v>
      </c>
      <c r="I6" s="35" t="s">
        <v>486</v>
      </c>
      <c r="J6" s="28">
        <v>44732</v>
      </c>
      <c r="K6" s="28">
        <f t="shared" ref="K6:K30" si="0">IF($E6="IUPTLS",IF(ISBLANK(J6), " ", DATE(YEAR(J6)+5,MONTH(J6),DAY(J6))),IF($E6="SKTP","",""))</f>
        <v>46558</v>
      </c>
      <c r="L6" s="25" t="s">
        <v>487</v>
      </c>
      <c r="M6" s="25" t="s">
        <v>488</v>
      </c>
      <c r="N6" s="26">
        <v>1600</v>
      </c>
      <c r="O6" s="26">
        <v>0.45</v>
      </c>
      <c r="P6" s="26">
        <f>Table145678910[[#This Row],[14]]*Table145678910[[#This Row],[15]]</f>
        <v>720</v>
      </c>
      <c r="Q6" s="26" t="s">
        <v>337</v>
      </c>
      <c r="R6" s="26" t="s">
        <v>338</v>
      </c>
      <c r="S6" s="25" t="s">
        <v>481</v>
      </c>
    </row>
    <row r="7" spans="1:19" x14ac:dyDescent="0.3">
      <c r="A7" s="7" t="str">
        <f>IF($C7&lt;&gt;"", SUBTOTAL(103,$C$6:C7), "")</f>
        <v/>
      </c>
      <c r="B7" s="41">
        <f>B6</f>
        <v>1</v>
      </c>
      <c r="C7" s="31"/>
      <c r="D7" s="38"/>
      <c r="E7" s="38"/>
      <c r="F7" s="51"/>
      <c r="G7" s="32"/>
      <c r="H7" s="39"/>
      <c r="I7" s="38"/>
      <c r="J7" s="39"/>
      <c r="K7" s="39" t="str">
        <f t="shared" si="0"/>
        <v/>
      </c>
      <c r="L7" s="31"/>
      <c r="M7" s="31"/>
      <c r="N7" s="38">
        <v>6</v>
      </c>
      <c r="O7" s="38">
        <v>100</v>
      </c>
      <c r="P7" s="38">
        <f>Table145678910[[#This Row],[14]]*Table145678910[[#This Row],[15]]</f>
        <v>600</v>
      </c>
      <c r="Q7" s="38" t="s">
        <v>337</v>
      </c>
      <c r="R7" s="38" t="s">
        <v>338</v>
      </c>
      <c r="S7" s="31" t="s">
        <v>482</v>
      </c>
    </row>
    <row r="8" spans="1:19" ht="45" x14ac:dyDescent="0.3">
      <c r="A8" s="7">
        <f>IF($C8&lt;&gt;"", SUBTOTAL(103,$C$6:C8), "")</f>
        <v>2</v>
      </c>
      <c r="B8" s="41">
        <v>2</v>
      </c>
      <c r="C8" s="25" t="s">
        <v>489</v>
      </c>
      <c r="D8" s="26"/>
      <c r="E8" s="26" t="s">
        <v>21</v>
      </c>
      <c r="F8" s="27" t="s">
        <v>490</v>
      </c>
      <c r="G8" s="27" t="s">
        <v>491</v>
      </c>
      <c r="H8" s="28">
        <v>44741</v>
      </c>
      <c r="I8" s="35" t="s">
        <v>492</v>
      </c>
      <c r="J8" s="28">
        <v>44760</v>
      </c>
      <c r="K8" s="28">
        <f t="shared" si="0"/>
        <v>46586</v>
      </c>
      <c r="L8" s="25" t="s">
        <v>493</v>
      </c>
      <c r="M8" s="25" t="s">
        <v>494</v>
      </c>
      <c r="N8" s="26">
        <v>2</v>
      </c>
      <c r="O8" s="26">
        <v>1845</v>
      </c>
      <c r="P8" s="26">
        <f>Table145678910[[#This Row],[14]]*Table145678910[[#This Row],[15]]</f>
        <v>3690</v>
      </c>
      <c r="Q8" s="26" t="s">
        <v>495</v>
      </c>
      <c r="R8" s="26" t="s">
        <v>103</v>
      </c>
      <c r="S8" s="5"/>
    </row>
    <row r="9" spans="1:19" x14ac:dyDescent="0.3">
      <c r="A9" s="7" t="str">
        <f>IF($C9&lt;&gt;"", SUBTOTAL(103,$C$6:C9), "")</f>
        <v/>
      </c>
      <c r="B9" s="41">
        <f t="shared" ref="B9:B30" si="1">B8</f>
        <v>2</v>
      </c>
      <c r="C9" s="36"/>
      <c r="D9" s="37"/>
      <c r="E9" s="37"/>
      <c r="F9" s="90"/>
      <c r="G9" s="46"/>
      <c r="H9" s="47"/>
      <c r="I9" s="46"/>
      <c r="J9" s="49"/>
      <c r="K9" s="47" t="str">
        <f t="shared" si="0"/>
        <v/>
      </c>
      <c r="L9" s="36"/>
      <c r="M9" s="36"/>
      <c r="N9" s="46">
        <v>1</v>
      </c>
      <c r="O9" s="46">
        <v>1710</v>
      </c>
      <c r="P9" s="46">
        <f>Table145678910[[#This Row],[14]]*Table145678910[[#This Row],[15]]</f>
        <v>1710</v>
      </c>
      <c r="Q9" s="46" t="s">
        <v>496</v>
      </c>
      <c r="R9" s="37"/>
      <c r="S9" s="5"/>
    </row>
    <row r="10" spans="1:19" x14ac:dyDescent="0.3">
      <c r="A10" s="7" t="str">
        <f>IF($C10&lt;&gt;"", SUBTOTAL(103,$C$6:C10), "")</f>
        <v/>
      </c>
      <c r="B10" s="41">
        <f t="shared" si="1"/>
        <v>2</v>
      </c>
      <c r="C10" s="36"/>
      <c r="D10" s="37"/>
      <c r="E10" s="37"/>
      <c r="F10" s="90"/>
      <c r="G10" s="46"/>
      <c r="H10" s="47"/>
      <c r="I10" s="46"/>
      <c r="J10" s="49"/>
      <c r="K10" s="47" t="str">
        <f t="shared" si="0"/>
        <v/>
      </c>
      <c r="L10" s="36"/>
      <c r="M10" s="36"/>
      <c r="N10" s="46">
        <v>1</v>
      </c>
      <c r="O10" s="46">
        <v>625</v>
      </c>
      <c r="P10" s="46">
        <f>Table145678910[[#This Row],[14]]*Table145678910[[#This Row],[15]]</f>
        <v>625</v>
      </c>
      <c r="Q10" s="46" t="s">
        <v>496</v>
      </c>
      <c r="R10" s="37"/>
      <c r="S10" s="5"/>
    </row>
    <row r="11" spans="1:19" x14ac:dyDescent="0.3">
      <c r="A11" s="7" t="str">
        <f>IF($C11&lt;&gt;"", SUBTOTAL(103,$C$6:C11), "")</f>
        <v/>
      </c>
      <c r="B11" s="41">
        <f t="shared" si="1"/>
        <v>2</v>
      </c>
      <c r="C11" s="36"/>
      <c r="D11" s="37"/>
      <c r="E11" s="37"/>
      <c r="F11" s="49"/>
      <c r="G11" s="46"/>
      <c r="H11" s="47"/>
      <c r="I11" s="37"/>
      <c r="J11" s="47"/>
      <c r="K11" s="47" t="str">
        <f t="shared" si="0"/>
        <v/>
      </c>
      <c r="L11" s="36"/>
      <c r="M11" s="36"/>
      <c r="N11" s="37">
        <v>1</v>
      </c>
      <c r="O11" s="37">
        <v>900</v>
      </c>
      <c r="P11" s="37">
        <f>Table145678910[[#This Row],[14]]*Table145678910[[#This Row],[15]]</f>
        <v>900</v>
      </c>
      <c r="Q11" s="37" t="s">
        <v>77</v>
      </c>
      <c r="R11" s="37"/>
      <c r="S11" s="5"/>
    </row>
    <row r="12" spans="1:19" x14ac:dyDescent="0.3">
      <c r="A12" s="7" t="str">
        <f>IF($C12&lt;&gt;"", SUBTOTAL(103,$C$6:C12), "")</f>
        <v/>
      </c>
      <c r="B12" s="41">
        <f t="shared" si="1"/>
        <v>2</v>
      </c>
      <c r="C12" s="31"/>
      <c r="D12" s="38"/>
      <c r="E12" s="38"/>
      <c r="F12" s="32"/>
      <c r="G12" s="32"/>
      <c r="H12" s="39"/>
      <c r="I12" s="38"/>
      <c r="J12" s="39"/>
      <c r="K12" s="39" t="str">
        <f t="shared" si="0"/>
        <v/>
      </c>
      <c r="L12" s="31"/>
      <c r="M12" s="31"/>
      <c r="N12" s="38">
        <v>1</v>
      </c>
      <c r="O12" s="38">
        <v>400</v>
      </c>
      <c r="P12" s="38">
        <f>Table145678910[[#This Row],[14]]*Table145678910[[#This Row],[15]]</f>
        <v>400</v>
      </c>
      <c r="Q12" s="38" t="s">
        <v>77</v>
      </c>
      <c r="R12" s="38"/>
      <c r="S12" s="5"/>
    </row>
    <row r="13" spans="1:19" ht="75" x14ac:dyDescent="0.3">
      <c r="A13" s="7">
        <f>IF($C13&lt;&gt;"", SUBTOTAL(103,$C$6:C13), "")</f>
        <v>3</v>
      </c>
      <c r="B13" s="41">
        <v>3</v>
      </c>
      <c r="C13" s="19" t="s">
        <v>497</v>
      </c>
      <c r="D13" s="20"/>
      <c r="E13" s="20" t="s">
        <v>22</v>
      </c>
      <c r="F13" s="20" t="s">
        <v>498</v>
      </c>
      <c r="G13" s="21" t="s">
        <v>499</v>
      </c>
      <c r="H13" s="22">
        <v>44741</v>
      </c>
      <c r="I13" s="20" t="s">
        <v>500</v>
      </c>
      <c r="J13" s="22">
        <v>44756</v>
      </c>
      <c r="K13" s="22" t="str">
        <f t="shared" si="0"/>
        <v/>
      </c>
      <c r="L13" s="19" t="s">
        <v>501</v>
      </c>
      <c r="M13" s="19" t="s">
        <v>502</v>
      </c>
      <c r="N13" s="20">
        <v>1</v>
      </c>
      <c r="O13" s="20">
        <v>150</v>
      </c>
      <c r="P13" s="20">
        <f>Table145678910[[#This Row],[14]]*Table145678910[[#This Row],[15]]</f>
        <v>150</v>
      </c>
      <c r="Q13" s="20" t="s">
        <v>77</v>
      </c>
      <c r="R13" s="20" t="s">
        <v>78</v>
      </c>
      <c r="S13" s="5"/>
    </row>
    <row r="14" spans="1:19" ht="60" x14ac:dyDescent="0.3">
      <c r="A14" s="7">
        <f>IF($C14&lt;&gt;"", SUBTOTAL(103,$C$6:C14), "")</f>
        <v>4</v>
      </c>
      <c r="B14" s="41">
        <v>4</v>
      </c>
      <c r="C14" s="25" t="s">
        <v>503</v>
      </c>
      <c r="D14" s="26"/>
      <c r="E14" s="26" t="s">
        <v>21</v>
      </c>
      <c r="F14" s="30" t="s">
        <v>504</v>
      </c>
      <c r="G14" s="27" t="s">
        <v>505</v>
      </c>
      <c r="H14" s="28">
        <v>44826</v>
      </c>
      <c r="I14" s="35" t="s">
        <v>506</v>
      </c>
      <c r="J14" s="28">
        <v>44838</v>
      </c>
      <c r="K14" s="28">
        <f t="shared" si="0"/>
        <v>46664</v>
      </c>
      <c r="L14" s="25" t="s">
        <v>507</v>
      </c>
      <c r="M14" s="25" t="s">
        <v>508</v>
      </c>
      <c r="N14" s="26">
        <v>1</v>
      </c>
      <c r="O14" s="26">
        <v>810</v>
      </c>
      <c r="P14" s="26">
        <f>Table145678910[[#This Row],[14]]*Table145678910[[#This Row],[15]]</f>
        <v>810</v>
      </c>
      <c r="Q14" s="27" t="s">
        <v>77</v>
      </c>
      <c r="R14" s="26" t="s">
        <v>78</v>
      </c>
      <c r="S14" s="72"/>
    </row>
    <row r="15" spans="1:19" ht="30" x14ac:dyDescent="0.3">
      <c r="A15" s="7" t="str">
        <f>IF($C15&lt;&gt;"", SUBTOTAL(103,$C$6:C15), "")</f>
        <v/>
      </c>
      <c r="B15" s="41">
        <f t="shared" si="1"/>
        <v>4</v>
      </c>
      <c r="C15" s="31"/>
      <c r="D15" s="38"/>
      <c r="E15" s="38"/>
      <c r="F15" s="32"/>
      <c r="G15" s="32"/>
      <c r="H15" s="39"/>
      <c r="I15" s="38"/>
      <c r="J15" s="39"/>
      <c r="K15" s="39" t="str">
        <f t="shared" si="0"/>
        <v/>
      </c>
      <c r="L15" s="31"/>
      <c r="M15" s="31" t="s">
        <v>509</v>
      </c>
      <c r="N15" s="38">
        <v>1</v>
      </c>
      <c r="O15" s="38">
        <v>1000</v>
      </c>
      <c r="P15" s="38">
        <f>Table145678910[[#This Row],[14]]*Table145678910[[#This Row],[15]]</f>
        <v>1000</v>
      </c>
      <c r="Q15" s="32" t="s">
        <v>77</v>
      </c>
      <c r="R15" s="38" t="s">
        <v>78</v>
      </c>
      <c r="S15" s="72"/>
    </row>
    <row r="16" spans="1:19" ht="45" x14ac:dyDescent="0.3">
      <c r="A16" s="7">
        <f>IF($C16&lt;&gt;"", SUBTOTAL(103,$C$6:C16), "")</f>
        <v>5</v>
      </c>
      <c r="B16" s="41">
        <v>5</v>
      </c>
      <c r="C16" s="19" t="s">
        <v>510</v>
      </c>
      <c r="D16" s="91"/>
      <c r="E16" s="21" t="s">
        <v>22</v>
      </c>
      <c r="F16" s="20" t="s">
        <v>511</v>
      </c>
      <c r="G16" s="21" t="s">
        <v>512</v>
      </c>
      <c r="H16" s="22">
        <v>44851</v>
      </c>
      <c r="I16" s="21" t="s">
        <v>513</v>
      </c>
      <c r="J16" s="34">
        <v>44861</v>
      </c>
      <c r="K16" s="22" t="str">
        <f t="shared" si="0"/>
        <v/>
      </c>
      <c r="L16" s="92" t="s">
        <v>514</v>
      </c>
      <c r="M16" s="19" t="s">
        <v>515</v>
      </c>
      <c r="N16" s="20">
        <v>2</v>
      </c>
      <c r="O16" s="21">
        <v>250</v>
      </c>
      <c r="P16" s="21">
        <f>Table145678910[[#This Row],[14]]*Table145678910[[#This Row],[15]]</f>
        <v>500</v>
      </c>
      <c r="Q16" s="21" t="s">
        <v>77</v>
      </c>
      <c r="R16" s="20" t="s">
        <v>78</v>
      </c>
      <c r="S16" s="72"/>
    </row>
    <row r="17" spans="1:19" ht="75" x14ac:dyDescent="0.3">
      <c r="A17" s="7">
        <f>IF($C17&lt;&gt;"", SUBTOTAL(103,$C$6:C17), "")</f>
        <v>6</v>
      </c>
      <c r="B17" s="41">
        <v>6</v>
      </c>
      <c r="C17" s="25" t="s">
        <v>516</v>
      </c>
      <c r="D17" s="59"/>
      <c r="E17" s="27" t="s">
        <v>22</v>
      </c>
      <c r="F17" s="26" t="s">
        <v>517</v>
      </c>
      <c r="G17" s="27" t="s">
        <v>518</v>
      </c>
      <c r="H17" s="28">
        <v>44851</v>
      </c>
      <c r="I17" s="27" t="s">
        <v>519</v>
      </c>
      <c r="J17" s="30">
        <v>44861</v>
      </c>
      <c r="K17" s="28" t="str">
        <f t="shared" si="0"/>
        <v/>
      </c>
      <c r="L17" s="25" t="s">
        <v>520</v>
      </c>
      <c r="M17" s="25" t="s">
        <v>521</v>
      </c>
      <c r="N17" s="27">
        <v>1</v>
      </c>
      <c r="O17" s="27">
        <v>60</v>
      </c>
      <c r="P17" s="27">
        <f>Table145678910[[#This Row],[14]]*Table145678910[[#This Row],[15]]</f>
        <v>60</v>
      </c>
      <c r="Q17" s="27" t="s">
        <v>337</v>
      </c>
      <c r="R17" s="26" t="s">
        <v>78</v>
      </c>
      <c r="S17" s="72" t="s">
        <v>482</v>
      </c>
    </row>
    <row r="18" spans="1:19" x14ac:dyDescent="0.3">
      <c r="A18" s="7" t="str">
        <f>IF($C18&lt;&gt;"", SUBTOTAL(103,$C$6:C18), "")</f>
        <v/>
      </c>
      <c r="B18" s="41">
        <f t="shared" si="1"/>
        <v>6</v>
      </c>
      <c r="C18" s="31"/>
      <c r="D18" s="60"/>
      <c r="E18" s="38"/>
      <c r="F18" s="32"/>
      <c r="G18" s="32"/>
      <c r="H18" s="39"/>
      <c r="I18" s="32"/>
      <c r="J18" s="51"/>
      <c r="K18" s="39" t="str">
        <f t="shared" si="0"/>
        <v/>
      </c>
      <c r="L18" s="53"/>
      <c r="M18" s="31"/>
      <c r="N18" s="32">
        <v>204</v>
      </c>
      <c r="O18" s="32">
        <v>0.34</v>
      </c>
      <c r="P18" s="32">
        <f>Table145678910[[#This Row],[14]]*Table145678910[[#This Row],[15]]</f>
        <v>69.36</v>
      </c>
      <c r="Q18" s="32" t="s">
        <v>337</v>
      </c>
      <c r="R18" s="38" t="s">
        <v>78</v>
      </c>
      <c r="S18" s="25" t="s">
        <v>481</v>
      </c>
    </row>
    <row r="19" spans="1:19" ht="45" x14ac:dyDescent="0.3">
      <c r="A19" s="7">
        <f>IF($C19&lt;&gt;"", SUBTOTAL(103,$C$6:C19), "")</f>
        <v>7</v>
      </c>
      <c r="B19" s="41">
        <v>7</v>
      </c>
      <c r="C19" s="25" t="s">
        <v>522</v>
      </c>
      <c r="D19" s="26"/>
      <c r="E19" s="26" t="s">
        <v>21</v>
      </c>
      <c r="F19" s="27" t="s">
        <v>523</v>
      </c>
      <c r="G19" s="27" t="s">
        <v>524</v>
      </c>
      <c r="H19" s="28">
        <v>44874</v>
      </c>
      <c r="I19" s="35" t="s">
        <v>525</v>
      </c>
      <c r="J19" s="28">
        <v>44879</v>
      </c>
      <c r="K19" s="28">
        <f t="shared" si="0"/>
        <v>46705</v>
      </c>
      <c r="L19" s="25" t="s">
        <v>526</v>
      </c>
      <c r="M19" s="25"/>
      <c r="N19" s="27">
        <v>1</v>
      </c>
      <c r="O19" s="27">
        <v>2020</v>
      </c>
      <c r="P19" s="27">
        <f>Table145678910[[#This Row],[14]]*Table145678910[[#This Row],[15]]</f>
        <v>2020</v>
      </c>
      <c r="Q19" s="27" t="s">
        <v>304</v>
      </c>
      <c r="R19" s="26" t="s">
        <v>136</v>
      </c>
      <c r="S19" s="72"/>
    </row>
    <row r="20" spans="1:19" x14ac:dyDescent="0.3">
      <c r="A20" s="7" t="str">
        <f>IF($C20&lt;&gt;"", SUBTOTAL(103,$C$6:C20), "")</f>
        <v/>
      </c>
      <c r="B20" s="41">
        <f t="shared" si="1"/>
        <v>7</v>
      </c>
      <c r="C20" s="36"/>
      <c r="D20" s="37"/>
      <c r="E20" s="37"/>
      <c r="F20" s="46"/>
      <c r="G20" s="46"/>
      <c r="H20" s="47"/>
      <c r="I20" s="37"/>
      <c r="J20" s="47"/>
      <c r="K20" s="47" t="str">
        <f t="shared" si="0"/>
        <v/>
      </c>
      <c r="L20" s="36"/>
      <c r="M20" s="36"/>
      <c r="N20" s="46">
        <v>2</v>
      </c>
      <c r="O20" s="46">
        <v>250</v>
      </c>
      <c r="P20" s="46">
        <f>Table145678910[[#This Row],[14]]*Table145678910[[#This Row],[15]]</f>
        <v>500</v>
      </c>
      <c r="Q20" s="46" t="s">
        <v>77</v>
      </c>
      <c r="R20" s="37" t="s">
        <v>136</v>
      </c>
      <c r="S20" s="72"/>
    </row>
    <row r="21" spans="1:19" x14ac:dyDescent="0.3">
      <c r="A21" s="7" t="str">
        <f>IF($C21&lt;&gt;"", SUBTOTAL(103,$C$6:C21), "")</f>
        <v/>
      </c>
      <c r="B21" s="41">
        <f t="shared" si="1"/>
        <v>7</v>
      </c>
      <c r="C21" s="31"/>
      <c r="D21" s="38"/>
      <c r="E21" s="38"/>
      <c r="F21" s="32"/>
      <c r="G21" s="32"/>
      <c r="H21" s="39"/>
      <c r="I21" s="38"/>
      <c r="J21" s="39"/>
      <c r="K21" s="39" t="str">
        <f t="shared" si="0"/>
        <v/>
      </c>
      <c r="L21" s="31"/>
      <c r="M21" s="31"/>
      <c r="N21" s="32">
        <v>1</v>
      </c>
      <c r="O21" s="32">
        <v>670</v>
      </c>
      <c r="P21" s="32">
        <f>Table145678910[[#This Row],[14]]*Table145678910[[#This Row],[15]]</f>
        <v>670</v>
      </c>
      <c r="Q21" s="32" t="s">
        <v>77</v>
      </c>
      <c r="R21" s="38" t="s">
        <v>136</v>
      </c>
      <c r="S21" s="72"/>
    </row>
    <row r="22" spans="1:19" ht="45" x14ac:dyDescent="0.3">
      <c r="A22" s="7">
        <f>IF($C22&lt;&gt;"", SUBTOTAL(103,$C$6:C22), "")</f>
        <v>8</v>
      </c>
      <c r="B22" s="41">
        <v>8</v>
      </c>
      <c r="C22" s="25" t="s">
        <v>533</v>
      </c>
      <c r="D22" s="26"/>
      <c r="E22" s="26" t="s">
        <v>21</v>
      </c>
      <c r="F22" s="27" t="s">
        <v>534</v>
      </c>
      <c r="G22" s="27" t="s">
        <v>535</v>
      </c>
      <c r="H22" s="28">
        <v>44900</v>
      </c>
      <c r="I22" s="35" t="s">
        <v>536</v>
      </c>
      <c r="J22" s="28">
        <v>44909</v>
      </c>
      <c r="K22" s="28">
        <f t="shared" ref="K22:K26" si="2">IF($E22="IUPTLS",IF(ISBLANK(J22), " ", DATE(YEAR(J22)+5,MONTH(J22),DAY(J22))),IF($E22="SKTP","",""))</f>
        <v>46735</v>
      </c>
      <c r="L22" s="25" t="s">
        <v>537</v>
      </c>
      <c r="M22" s="25" t="s">
        <v>539</v>
      </c>
      <c r="N22" s="27">
        <v>1</v>
      </c>
      <c r="O22" s="27">
        <v>1029</v>
      </c>
      <c r="P22" s="27">
        <f>Table145678910[[#This Row],[14]]*Table145678910[[#This Row],[15]]</f>
        <v>1029</v>
      </c>
      <c r="Q22" s="27" t="s">
        <v>77</v>
      </c>
      <c r="R22" s="26" t="s">
        <v>78</v>
      </c>
      <c r="S22" s="72"/>
    </row>
    <row r="23" spans="1:19" x14ac:dyDescent="0.3">
      <c r="A23" s="7" t="str">
        <f>IF($C23&lt;&gt;"", SUBTOTAL(103,$C$6:C23), "")</f>
        <v/>
      </c>
      <c r="B23" s="41">
        <f>B22</f>
        <v>8</v>
      </c>
      <c r="C23" s="36"/>
      <c r="D23" s="37"/>
      <c r="E23" s="37"/>
      <c r="F23" s="49"/>
      <c r="G23" s="46"/>
      <c r="H23" s="47"/>
      <c r="I23" s="37"/>
      <c r="J23" s="47"/>
      <c r="K23" s="47" t="str">
        <f t="shared" si="2"/>
        <v/>
      </c>
      <c r="L23" s="36"/>
      <c r="M23" s="36"/>
      <c r="N23" s="37">
        <v>1</v>
      </c>
      <c r="O23" s="37">
        <v>1110</v>
      </c>
      <c r="P23" s="37">
        <f>Table145678910[[#This Row],[14]]*Table145678910[[#This Row],[15]]</f>
        <v>1110</v>
      </c>
      <c r="Q23" s="46" t="s">
        <v>77</v>
      </c>
      <c r="R23" s="37" t="s">
        <v>78</v>
      </c>
      <c r="S23" s="72"/>
    </row>
    <row r="24" spans="1:19" x14ac:dyDescent="0.3">
      <c r="A24" s="7" t="str">
        <f>IF($C24&lt;&gt;"", SUBTOTAL(103,$C$6:C24), "")</f>
        <v/>
      </c>
      <c r="B24" s="41">
        <f t="shared" ref="B24:B26" si="3">B23</f>
        <v>8</v>
      </c>
      <c r="C24" s="36"/>
      <c r="D24" s="37"/>
      <c r="E24" s="37"/>
      <c r="F24" s="46"/>
      <c r="G24" s="46"/>
      <c r="H24" s="47"/>
      <c r="I24" s="37"/>
      <c r="J24" s="47"/>
      <c r="K24" s="47" t="str">
        <f t="shared" si="2"/>
        <v/>
      </c>
      <c r="L24" s="36"/>
      <c r="M24" s="36"/>
      <c r="N24" s="37">
        <v>2</v>
      </c>
      <c r="O24" s="37">
        <v>500</v>
      </c>
      <c r="P24" s="37">
        <f>Table145678910[[#This Row],[14]]*Table145678910[[#This Row],[15]]</f>
        <v>1000</v>
      </c>
      <c r="Q24" s="46" t="s">
        <v>77</v>
      </c>
      <c r="R24" s="37" t="s">
        <v>78</v>
      </c>
      <c r="S24" s="72"/>
    </row>
    <row r="25" spans="1:19" x14ac:dyDescent="0.3">
      <c r="A25" s="7" t="str">
        <f>IF($C25&lt;&gt;"", SUBTOTAL(103,$C$6:C25), "")</f>
        <v/>
      </c>
      <c r="B25" s="41">
        <f t="shared" si="3"/>
        <v>8</v>
      </c>
      <c r="C25" s="36"/>
      <c r="D25" s="37"/>
      <c r="E25" s="37"/>
      <c r="F25" s="46"/>
      <c r="G25" s="46"/>
      <c r="H25" s="47"/>
      <c r="I25" s="37"/>
      <c r="J25" s="47"/>
      <c r="K25" s="47" t="str">
        <f t="shared" si="2"/>
        <v/>
      </c>
      <c r="L25" s="36"/>
      <c r="M25" s="36"/>
      <c r="N25" s="37">
        <v>2</v>
      </c>
      <c r="O25" s="37">
        <v>1000</v>
      </c>
      <c r="P25" s="37">
        <f>Table145678910[[#This Row],[14]]*Table145678910[[#This Row],[15]]</f>
        <v>2000</v>
      </c>
      <c r="Q25" s="46" t="s">
        <v>77</v>
      </c>
      <c r="R25" s="37" t="s">
        <v>78</v>
      </c>
      <c r="S25" s="72"/>
    </row>
    <row r="26" spans="1:19" ht="45" x14ac:dyDescent="0.3">
      <c r="A26" s="7" t="str">
        <f>IF($C26&lt;&gt;"", SUBTOTAL(103,$C$6:C26), "")</f>
        <v/>
      </c>
      <c r="B26" s="41">
        <f t="shared" si="3"/>
        <v>8</v>
      </c>
      <c r="C26" s="31"/>
      <c r="D26" s="38"/>
      <c r="E26" s="38"/>
      <c r="F26" s="51"/>
      <c r="G26" s="32"/>
      <c r="H26" s="39"/>
      <c r="I26" s="38"/>
      <c r="J26" s="39"/>
      <c r="K26" s="39" t="str">
        <f t="shared" si="2"/>
        <v/>
      </c>
      <c r="L26" s="31" t="s">
        <v>538</v>
      </c>
      <c r="M26" s="31" t="s">
        <v>540</v>
      </c>
      <c r="N26" s="38">
        <v>1</v>
      </c>
      <c r="O26" s="38">
        <v>200</v>
      </c>
      <c r="P26" s="38">
        <f>Table145678910[[#This Row],[14]]*Table145678910[[#This Row],[15]]</f>
        <v>200</v>
      </c>
      <c r="Q26" s="32" t="s">
        <v>77</v>
      </c>
      <c r="R26" s="38" t="s">
        <v>78</v>
      </c>
      <c r="S26" s="72"/>
    </row>
    <row r="27" spans="1:19" ht="45" x14ac:dyDescent="0.3">
      <c r="A27" s="7">
        <f>IF($C27&lt;&gt;"", SUBTOTAL(103,$C$6:C27), "")</f>
        <v>9</v>
      </c>
      <c r="B27" s="41">
        <v>9</v>
      </c>
      <c r="C27" s="25" t="s">
        <v>527</v>
      </c>
      <c r="D27" s="26"/>
      <c r="E27" s="26" t="s">
        <v>21</v>
      </c>
      <c r="F27" s="27" t="s">
        <v>528</v>
      </c>
      <c r="G27" s="27" t="s">
        <v>529</v>
      </c>
      <c r="H27" s="28">
        <v>44900</v>
      </c>
      <c r="I27" s="35" t="s">
        <v>530</v>
      </c>
      <c r="J27" s="28">
        <v>44909</v>
      </c>
      <c r="K27" s="28">
        <f t="shared" si="0"/>
        <v>46735</v>
      </c>
      <c r="L27" s="25" t="s">
        <v>531</v>
      </c>
      <c r="M27" s="25"/>
      <c r="N27" s="27">
        <v>1</v>
      </c>
      <c r="O27" s="27">
        <v>1110</v>
      </c>
      <c r="P27" s="27">
        <f>Table145678910[[#This Row],[14]]*Table145678910[[#This Row],[15]]</f>
        <v>1110</v>
      </c>
      <c r="Q27" s="27" t="s">
        <v>77</v>
      </c>
      <c r="R27" s="26" t="s">
        <v>78</v>
      </c>
      <c r="S27" s="72"/>
    </row>
    <row r="28" spans="1:19" x14ac:dyDescent="0.3">
      <c r="A28" s="7" t="str">
        <f>IF($C28&lt;&gt;"", SUBTOTAL(103,$C$6:C28), "")</f>
        <v/>
      </c>
      <c r="B28" s="41">
        <f t="shared" si="1"/>
        <v>9</v>
      </c>
      <c r="C28" s="36"/>
      <c r="D28" s="37"/>
      <c r="E28" s="37"/>
      <c r="F28" s="46"/>
      <c r="G28" s="46"/>
      <c r="H28" s="47"/>
      <c r="I28" s="37"/>
      <c r="J28" s="47"/>
      <c r="K28" s="47" t="str">
        <f t="shared" si="0"/>
        <v/>
      </c>
      <c r="L28" s="36"/>
      <c r="M28" s="36"/>
      <c r="N28" s="46">
        <v>1</v>
      </c>
      <c r="O28" s="46">
        <v>800</v>
      </c>
      <c r="P28" s="46">
        <f>Table145678910[[#This Row],[14]]*Table145678910[[#This Row],[15]]</f>
        <v>800</v>
      </c>
      <c r="Q28" s="46" t="s">
        <v>77</v>
      </c>
      <c r="R28" s="37" t="s">
        <v>78</v>
      </c>
      <c r="S28" s="72"/>
    </row>
    <row r="29" spans="1:19" x14ac:dyDescent="0.3">
      <c r="A29" s="7" t="str">
        <f>IF($C29&lt;&gt;"", SUBTOTAL(103,$C$6:C29), "")</f>
        <v/>
      </c>
      <c r="B29" s="41">
        <f t="shared" si="1"/>
        <v>9</v>
      </c>
      <c r="C29" s="36"/>
      <c r="D29" s="37"/>
      <c r="E29" s="37"/>
      <c r="F29" s="46"/>
      <c r="G29" s="46"/>
      <c r="H29" s="47"/>
      <c r="I29" s="37"/>
      <c r="J29" s="47"/>
      <c r="K29" s="47" t="str">
        <f t="shared" si="0"/>
        <v/>
      </c>
      <c r="L29" s="36"/>
      <c r="M29" s="36"/>
      <c r="N29" s="46">
        <v>1</v>
      </c>
      <c r="O29" s="46">
        <v>1030</v>
      </c>
      <c r="P29" s="46">
        <f>Table145678910[[#This Row],[14]]*Table145678910[[#This Row],[15]]</f>
        <v>1030</v>
      </c>
      <c r="Q29" s="46" t="s">
        <v>77</v>
      </c>
      <c r="R29" s="37" t="s">
        <v>78</v>
      </c>
      <c r="S29" s="72"/>
    </row>
    <row r="30" spans="1:19" x14ac:dyDescent="0.3">
      <c r="A30" s="7" t="str">
        <f>IF($C30&lt;&gt;"", SUBTOTAL(103,$C$6:C30), "")</f>
        <v/>
      </c>
      <c r="B30" s="41">
        <f t="shared" si="1"/>
        <v>9</v>
      </c>
      <c r="C30" s="31"/>
      <c r="D30" s="38"/>
      <c r="E30" s="38"/>
      <c r="F30" s="32"/>
      <c r="G30" s="32"/>
      <c r="H30" s="39"/>
      <c r="I30" s="38"/>
      <c r="J30" s="39"/>
      <c r="K30" s="39" t="str">
        <f t="shared" si="0"/>
        <v/>
      </c>
      <c r="L30" s="31"/>
      <c r="M30" s="31"/>
      <c r="N30" s="32">
        <v>3</v>
      </c>
      <c r="O30" s="32">
        <v>1000</v>
      </c>
      <c r="P30" s="32">
        <f>Table145678910[[#This Row],[14]]*Table145678910[[#This Row],[15]]</f>
        <v>3000</v>
      </c>
      <c r="Q30" s="32" t="s">
        <v>77</v>
      </c>
      <c r="R30" s="38" t="s">
        <v>78</v>
      </c>
      <c r="S30" s="72"/>
    </row>
    <row r="33" spans="7:16" ht="15" customHeight="1" x14ac:dyDescent="0.3">
      <c r="G33" s="87" t="s">
        <v>23</v>
      </c>
      <c r="H33" s="83">
        <f>COUNTIF($E$6:$E$30,"IUPTLS")</f>
        <v>6</v>
      </c>
      <c r="N33" s="132" t="s">
        <v>69</v>
      </c>
      <c r="O33" s="132"/>
      <c r="P33" s="133">
        <f>SUM($P$6:$P$30)</f>
        <v>25703.360000000001</v>
      </c>
    </row>
    <row r="34" spans="7:16" ht="15" customHeight="1" x14ac:dyDescent="0.3">
      <c r="G34" s="87" t="s">
        <v>24</v>
      </c>
      <c r="H34" s="84">
        <f>COUNTIF($E$6:$E$30,"SKTP")</f>
        <v>3</v>
      </c>
      <c r="N34" s="132"/>
      <c r="O34" s="132"/>
      <c r="P34" s="133"/>
    </row>
    <row r="35" spans="7:16" ht="15" customHeight="1" x14ac:dyDescent="0.3">
      <c r="G35" s="87" t="s">
        <v>25</v>
      </c>
      <c r="H35" s="82">
        <f>SUM(H33:H34)</f>
        <v>9</v>
      </c>
    </row>
  </sheetData>
  <mergeCells count="9">
    <mergeCell ref="S3:S4"/>
    <mergeCell ref="N33:O34"/>
    <mergeCell ref="P33:P34"/>
    <mergeCell ref="A1:R1"/>
    <mergeCell ref="A3:A4"/>
    <mergeCell ref="B3:B4"/>
    <mergeCell ref="C3:D3"/>
    <mergeCell ref="E3:K3"/>
    <mergeCell ref="L3:R3"/>
  </mergeCells>
  <conditionalFormatting sqref="B6:B30">
    <cfRule type="containsBlanks" dxfId="8" priority="9">
      <formula>LEN(TRIM(B6))=0</formula>
    </cfRule>
    <cfRule type="expression" dxfId="7" priority="10">
      <formula>AND(ISBLANK($I6),$C6&lt;&gt;"")</formula>
    </cfRule>
  </conditionalFormatting>
  <conditionalFormatting sqref="I6:I30">
    <cfRule type="expression" dxfId="6" priority="7">
      <formula>TODAY()&gt;=$K6</formula>
    </cfRule>
    <cfRule type="expression" dxfId="5" priority="8">
      <formula>AND($K6&gt;=TODAY(),$K6&lt;=TODAY()+30)</formula>
    </cfRule>
  </conditionalFormatting>
  <pageMargins left="0.25" right="0.25" top="0.75" bottom="0.75" header="0.3" footer="0.3"/>
  <pageSetup paperSize="9" scale="38" fitToHeight="0" orientation="landscape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10FD7-0D69-49BC-B101-220841893E93}">
  <sheetPr>
    <outlinePr summaryBelow="0" summaryRight="0"/>
    <pageSetUpPr fitToPage="1"/>
  </sheetPr>
  <dimension ref="A1:S12"/>
  <sheetViews>
    <sheetView topLeftCell="F1" zoomScale="70" zoomScaleNormal="70" zoomScaleSheetLayoutView="70" workbookViewId="0">
      <selection activeCell="H12" sqref="H12"/>
    </sheetView>
  </sheetViews>
  <sheetFormatPr defaultColWidth="8.88671875" defaultRowHeight="15" x14ac:dyDescent="0.3"/>
  <cols>
    <col min="1" max="1" width="7.109375" style="1" bestFit="1" customWidth="1"/>
    <col min="2" max="2" width="7.109375" style="1" customWidth="1"/>
    <col min="3" max="3" width="29.6640625" style="2" bestFit="1" customWidth="1"/>
    <col min="4" max="4" width="22.6640625" style="5" customWidth="1"/>
    <col min="5" max="5" width="9" style="1" bestFit="1" customWidth="1"/>
    <col min="6" max="6" width="30.109375" style="3" bestFit="1" customWidth="1"/>
    <col min="7" max="7" width="31.44140625" style="3" bestFit="1" customWidth="1"/>
    <col min="8" max="8" width="21" style="4" bestFit="1" customWidth="1"/>
    <col min="9" max="9" width="45.33203125" style="3" customWidth="1"/>
    <col min="10" max="11" width="21.6640625" style="4" customWidth="1"/>
    <col min="12" max="12" width="26.88671875" style="5" customWidth="1"/>
    <col min="13" max="13" width="18.88671875" style="5" bestFit="1" customWidth="1"/>
    <col min="14" max="14" width="9.33203125" style="1" bestFit="1" customWidth="1"/>
    <col min="15" max="15" width="12.109375" style="1" bestFit="1" customWidth="1"/>
    <col min="16" max="16" width="16.44140625" style="6" bestFit="1" customWidth="1"/>
    <col min="17" max="17" width="11" style="1" bestFit="1" customWidth="1"/>
    <col min="18" max="18" width="15.44140625" style="1" bestFit="1" customWidth="1"/>
    <col min="19" max="19" width="13" style="2" bestFit="1" customWidth="1"/>
    <col min="20" max="16384" width="8.88671875" style="2"/>
  </cols>
  <sheetData>
    <row r="1" spans="1:19" ht="17.399999999999999" x14ac:dyDescent="0.3">
      <c r="A1" s="134" t="s">
        <v>67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</row>
    <row r="2" spans="1:19" x14ac:dyDescent="0.3">
      <c r="D2" s="2"/>
      <c r="F2" s="1"/>
      <c r="H2" s="1"/>
      <c r="J2" s="1"/>
      <c r="K2" s="1"/>
      <c r="L2" s="1"/>
      <c r="M2" s="1"/>
    </row>
    <row r="3" spans="1:19" ht="15.6" x14ac:dyDescent="0.3">
      <c r="A3" s="131" t="s">
        <v>3</v>
      </c>
      <c r="B3" s="131" t="s">
        <v>4</v>
      </c>
      <c r="C3" s="131" t="s">
        <v>0</v>
      </c>
      <c r="D3" s="131"/>
      <c r="E3" s="131" t="s">
        <v>1</v>
      </c>
      <c r="F3" s="131"/>
      <c r="G3" s="131"/>
      <c r="H3" s="131"/>
      <c r="I3" s="131"/>
      <c r="J3" s="131"/>
      <c r="K3" s="131"/>
      <c r="L3" s="131" t="s">
        <v>2</v>
      </c>
      <c r="M3" s="131"/>
      <c r="N3" s="131"/>
      <c r="O3" s="131"/>
      <c r="P3" s="131"/>
      <c r="Q3" s="131"/>
      <c r="R3" s="131"/>
      <c r="S3" s="131" t="s">
        <v>19</v>
      </c>
    </row>
    <row r="4" spans="1:19" s="1" customFormat="1" ht="46.8" x14ac:dyDescent="0.3">
      <c r="A4" s="131"/>
      <c r="B4" s="131"/>
      <c r="C4" s="54" t="s">
        <v>5</v>
      </c>
      <c r="D4" s="54" t="s">
        <v>6</v>
      </c>
      <c r="E4" s="54" t="s">
        <v>7</v>
      </c>
      <c r="F4" s="54" t="s">
        <v>8</v>
      </c>
      <c r="G4" s="54" t="s">
        <v>9</v>
      </c>
      <c r="H4" s="54" t="s">
        <v>10</v>
      </c>
      <c r="I4" s="43" t="s">
        <v>11</v>
      </c>
      <c r="J4" s="54" t="s">
        <v>12</v>
      </c>
      <c r="K4" s="54" t="s">
        <v>13</v>
      </c>
      <c r="L4" s="54" t="s">
        <v>14</v>
      </c>
      <c r="M4" s="54" t="s">
        <v>15</v>
      </c>
      <c r="N4" s="54" t="s">
        <v>16</v>
      </c>
      <c r="O4" s="43" t="s">
        <v>17</v>
      </c>
      <c r="P4" s="18" t="s">
        <v>69</v>
      </c>
      <c r="Q4" s="54" t="s">
        <v>7</v>
      </c>
      <c r="R4" s="54" t="s">
        <v>18</v>
      </c>
      <c r="S4" s="131"/>
    </row>
    <row r="5" spans="1:19" s="1" customFormat="1" x14ac:dyDescent="0.3">
      <c r="A5" s="10" t="s">
        <v>26</v>
      </c>
      <c r="B5" s="11" t="s">
        <v>27</v>
      </c>
      <c r="C5" s="11" t="s">
        <v>28</v>
      </c>
      <c r="D5" s="11" t="s">
        <v>29</v>
      </c>
      <c r="E5" s="11" t="s">
        <v>30</v>
      </c>
      <c r="F5" s="11" t="s">
        <v>31</v>
      </c>
      <c r="G5" s="11" t="s">
        <v>32</v>
      </c>
      <c r="H5" s="11" t="s">
        <v>33</v>
      </c>
      <c r="I5" s="44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1" t="s">
        <v>39</v>
      </c>
      <c r="O5" s="11" t="s">
        <v>40</v>
      </c>
      <c r="P5" s="12" t="s">
        <v>20</v>
      </c>
      <c r="Q5" s="11" t="s">
        <v>41</v>
      </c>
      <c r="R5" s="11" t="s">
        <v>42</v>
      </c>
      <c r="S5" s="13" t="s">
        <v>43</v>
      </c>
    </row>
    <row r="6" spans="1:19" x14ac:dyDescent="0.3">
      <c r="A6" s="7" t="str">
        <f>IF($C6&lt;&gt;"", SUBTOTAL(103,$C$6:C6), "")</f>
        <v/>
      </c>
      <c r="B6" s="41"/>
      <c r="C6" s="25"/>
      <c r="D6" s="56"/>
      <c r="E6" s="56"/>
      <c r="F6" s="56"/>
      <c r="G6" s="57"/>
      <c r="H6" s="62"/>
      <c r="I6" s="66"/>
      <c r="J6" s="71"/>
      <c r="K6" s="22" t="str">
        <f t="shared" ref="K6:K7" si="0">IF($E6="IUPTLS",IF(ISBLANK(J6), " ", DATE(YEAR(J6)+5,MONTH(J6),DAY(J6))),IF($E6="SKTP","",""))</f>
        <v/>
      </c>
      <c r="L6" s="65"/>
      <c r="M6" s="55"/>
      <c r="N6" s="56"/>
      <c r="O6" s="56"/>
      <c r="P6" s="26">
        <f>Table14567891011[[#This Row],[14]]*Table14567891011[[#This Row],[15]]</f>
        <v>0</v>
      </c>
      <c r="Q6" s="56"/>
      <c r="R6" s="56"/>
      <c r="S6" s="9"/>
    </row>
    <row r="7" spans="1:19" x14ac:dyDescent="0.3">
      <c r="A7" s="7" t="str">
        <f>IF($C7&lt;&gt;"", SUBTOTAL(103,$C$6:C7), "")</f>
        <v/>
      </c>
      <c r="B7" s="41"/>
      <c r="C7" s="25"/>
      <c r="D7" s="56"/>
      <c r="E7" s="58"/>
      <c r="F7" s="58"/>
      <c r="G7" s="66"/>
      <c r="H7" s="67"/>
      <c r="I7" s="66"/>
      <c r="J7" s="68"/>
      <c r="K7" s="22" t="str">
        <f t="shared" si="0"/>
        <v/>
      </c>
      <c r="L7" s="69"/>
      <c r="M7" s="64"/>
      <c r="N7" s="63"/>
      <c r="O7" s="63"/>
      <c r="P7" s="26">
        <f>Table14567891011[[#This Row],[14]]*Table14567891011[[#This Row],[15]]</f>
        <v>0</v>
      </c>
      <c r="Q7" s="56"/>
      <c r="R7" s="56"/>
      <c r="S7" s="9"/>
    </row>
    <row r="10" spans="1:19" ht="15" customHeight="1" x14ac:dyDescent="0.3">
      <c r="G10" s="87" t="s">
        <v>23</v>
      </c>
      <c r="H10" s="83">
        <f>COUNTIF($E$6:$E$7,"IUPTLS")</f>
        <v>0</v>
      </c>
      <c r="N10" s="132" t="s">
        <v>69</v>
      </c>
      <c r="O10" s="132"/>
      <c r="P10" s="133">
        <f>SUM($P$6:$P$7)</f>
        <v>0</v>
      </c>
    </row>
    <row r="11" spans="1:19" ht="15" customHeight="1" x14ac:dyDescent="0.3">
      <c r="G11" s="87" t="s">
        <v>24</v>
      </c>
      <c r="H11" s="84">
        <f>COUNTIF($E$6:$E$7,"SKTP")</f>
        <v>0</v>
      </c>
      <c r="N11" s="132"/>
      <c r="O11" s="132"/>
      <c r="P11" s="133"/>
    </row>
    <row r="12" spans="1:19" ht="15" customHeight="1" x14ac:dyDescent="0.3">
      <c r="G12" s="87" t="s">
        <v>25</v>
      </c>
      <c r="H12" s="82">
        <f>SUM(H10:H11)</f>
        <v>0</v>
      </c>
    </row>
  </sheetData>
  <mergeCells count="9">
    <mergeCell ref="S3:S4"/>
    <mergeCell ref="N10:O11"/>
    <mergeCell ref="P10:P11"/>
    <mergeCell ref="A1:R1"/>
    <mergeCell ref="A3:A4"/>
    <mergeCell ref="B3:B4"/>
    <mergeCell ref="C3:D3"/>
    <mergeCell ref="E3:K3"/>
    <mergeCell ref="L3:R3"/>
  </mergeCells>
  <conditionalFormatting sqref="C6:C7">
    <cfRule type="expression" dxfId="4" priority="4">
      <formula>AND(ISBLANK($I6),$C6&lt;&gt;"")</formula>
    </cfRule>
  </conditionalFormatting>
  <conditionalFormatting sqref="B6:B7">
    <cfRule type="containsBlanks" dxfId="3" priority="3">
      <formula>LEN(TRIM(B6))=0</formula>
    </cfRule>
  </conditionalFormatting>
  <conditionalFormatting sqref="I6:I7">
    <cfRule type="expression" dxfId="2" priority="1">
      <formula>TODAY()&gt;=$K6</formula>
    </cfRule>
    <cfRule type="expression" dxfId="1" priority="2">
      <formula>AND($K6&gt;=TODAY(),$K6&lt;=TODAY()+30)</formula>
    </cfRule>
  </conditionalFormatting>
  <pageMargins left="0.25" right="0.25" top="0.75" bottom="0.75" header="0.3" footer="0.3"/>
  <pageSetup paperSize="9" scale="38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RINGKASAN</vt:lpstr>
      <vt:lpstr>SAMARINDA</vt:lpstr>
      <vt:lpstr>BALIKPAPAN</vt:lpstr>
      <vt:lpstr>KUKAR</vt:lpstr>
      <vt:lpstr>KUTIM</vt:lpstr>
      <vt:lpstr>KUBAR</vt:lpstr>
      <vt:lpstr>PASER</vt:lpstr>
      <vt:lpstr>PPU</vt:lpstr>
      <vt:lpstr>BONTANG</vt:lpstr>
      <vt:lpstr>BERAU</vt:lpstr>
      <vt:lpstr>MAHULU</vt:lpstr>
      <vt:lpstr>PPU!Print_Area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2025-01-03T03:51:41Z</cp:lastPrinted>
  <dcterms:created xsi:type="dcterms:W3CDTF">2024-12-31T01:04:33Z</dcterms:created>
  <dcterms:modified xsi:type="dcterms:W3CDTF">2025-01-13T01:57:17Z</dcterms:modified>
</cp:coreProperties>
</file>